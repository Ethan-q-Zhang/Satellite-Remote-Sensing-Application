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52" windowHeight="11055"/>
  </bookViews>
  <sheets>
    <sheet name="珠海" sheetId="1" r:id="rId1"/>
    <sheet name="厦门" sheetId="2" r:id="rId2"/>
    <sheet name="福州" sheetId="3" r:id="rId3"/>
    <sheet name="上海" sheetId="4" r:id="rId4"/>
    <sheet name="青岛" sheetId="5" r:id="rId5"/>
    <sheet name="秦皇岛" sheetId="6" r:id="rId6"/>
    <sheet name="大连" sheetId="7" r:id="rId7"/>
    <sheet name="2014" sheetId="9" r:id="rId8"/>
    <sheet name="2015" sheetId="10" r:id="rId9"/>
    <sheet name="2016" sheetId="11" r:id="rId10"/>
    <sheet name="2017" sheetId="12" r:id="rId11"/>
    <sheet name="2018" sheetId="13" r:id="rId12"/>
    <sheet name="2019" sheetId="14" r:id="rId13"/>
    <sheet name="2020" sheetId="15" r:id="rId14"/>
    <sheet name="2021" sheetId="16" r:id="rId15"/>
    <sheet name="2022" sheetId="17" r:id="rId16"/>
    <sheet name="2023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<sst xmlns="http://schemas.openxmlformats.org/spreadsheetml/2006/main" count="915" uniqueCount="258">
  <si>
    <t>年份</t>
  </si>
  <si>
    <t>2023-pre</t>
  </si>
  <si>
    <t>MAX</t>
  </si>
  <si>
    <t>MIN</t>
  </si>
  <si>
    <t>MAX-MIN</t>
  </si>
  <si>
    <t>GDP/亿元</t>
  </si>
  <si>
    <t>＋</t>
  </si>
  <si>
    <t>人口/万人</t>
  </si>
  <si>
    <t>人口密度 人/km2</t>
  </si>
  <si>
    <t>－</t>
  </si>
  <si>
    <t>土地经济密度 亿元/km2</t>
  </si>
  <si>
    <t>人均财政收入/元</t>
  </si>
  <si>
    <t>固定资产投资额/亿元</t>
  </si>
  <si>
    <t>人均社会消费品零售额/元</t>
  </si>
  <si>
    <t>第二三产业比重/%</t>
  </si>
  <si>
    <t>耕地比例</t>
  </si>
  <si>
    <t>建设用地比例</t>
  </si>
  <si>
    <t>草地比例</t>
  </si>
  <si>
    <t>林地比例</t>
  </si>
  <si>
    <t>裸地比例</t>
  </si>
  <si>
    <t>建成区绿化覆盖率（%）</t>
  </si>
  <si>
    <t>城区人均公园绿地面积（平方米）</t>
  </si>
  <si>
    <t>城市污水处理率（%）</t>
  </si>
  <si>
    <t>工业废水排放量（万吨）</t>
  </si>
  <si>
    <t>二氧化硫排放量（吨）</t>
  </si>
  <si>
    <t>植被覆盖指数</t>
  </si>
  <si>
    <t>生物丰度指数</t>
  </si>
  <si>
    <t>NDVI</t>
  </si>
  <si>
    <t>DHI</t>
  </si>
  <si>
    <t>中国2014年地级以上城市数据</t>
  </si>
  <si>
    <t>人口状况</t>
  </si>
  <si>
    <t>行政区域土地面积及人口密度</t>
  </si>
  <si>
    <t>地区生产总值</t>
  </si>
  <si>
    <t>地区生产总值构成（%）</t>
  </si>
  <si>
    <t>地方公共财政收支状况（全市）（万元）</t>
  </si>
  <si>
    <t>固定资产投资情况（万元）</t>
  </si>
  <si>
    <t>工业废水排放量和二氧化硫产生及排放量（全市）</t>
  </si>
  <si>
    <t>固定资产投资(不含农户)</t>
  </si>
  <si>
    <t>城市</t>
  </si>
  <si>
    <t>年末总人口(万人)</t>
  </si>
  <si>
    <t>行政区域土地面积(平方公里)</t>
  </si>
  <si>
    <t>人口密度(人/平方公里)</t>
  </si>
  <si>
    <t>地区生产总值(当年价格)(万元)</t>
  </si>
  <si>
    <t>第一产业占GDP的比重</t>
  </si>
  <si>
    <t>公共财政收入</t>
  </si>
  <si>
    <t>社会消费品零售总额(万元)</t>
  </si>
  <si>
    <t>全市</t>
  </si>
  <si>
    <t>建成区绿化覆盖面积(公顷)</t>
  </si>
  <si>
    <t>建成区绿化覆盖率(%)</t>
  </si>
  <si>
    <t>工业废水排放量(万吨)</t>
  </si>
  <si>
    <t>工业二氧化硫排放量(吨)</t>
  </si>
  <si>
    <t>污水处理厂集中处理率</t>
  </si>
  <si>
    <t>人口（万人）</t>
  </si>
  <si>
    <t>公园绿地面积</t>
  </si>
  <si>
    <t>  珠海市</t>
  </si>
  <si>
    <t>  厦门市</t>
  </si>
  <si>
    <t>  福州市</t>
  </si>
  <si>
    <t>上海市</t>
  </si>
  <si>
    <t>  青岛市</t>
  </si>
  <si>
    <t>秦皇岛市</t>
  </si>
  <si>
    <t>  大连市</t>
  </si>
  <si>
    <t>GDP（亿元）</t>
  </si>
  <si>
    <t>珠海市</t>
  </si>
  <si>
    <t>厦门市</t>
  </si>
  <si>
    <t>福州市</t>
  </si>
  <si>
    <t>青岛市</t>
  </si>
  <si>
    <t>大连市</t>
  </si>
  <si>
    <t>中国2015年地级以上城市数据</t>
  </si>
  <si>
    <t>地区生产总值构成</t>
  </si>
  <si>
    <t>地方公共财政收支状况</t>
  </si>
  <si>
    <t>固定资产投资情况</t>
  </si>
  <si>
    <t>工业废水排放量和二氧化硫产生及排放量(全市)</t>
  </si>
  <si>
    <t>固定资产投资(不含农户）（万元） Investment in Fixed Assets (Excluding Rural Households)</t>
  </si>
  <si>
    <t>城 市</t>
  </si>
  <si>
    <t>年末户籍人口 (万人&gt; Household Registered Population at Year-end (10 000 persons)</t>
  </si>
  <si>
    <t>行政区域七地面积 (平方公里） Total Land Area of Administrative region (sq.km)</t>
  </si>
  <si>
    <t>人口密度 (人/平方公里） Population Density (person/sq.km)</t>
  </si>
  <si>
    <t>地区生产总值(当年价格） (万元） Gross Regional Product (Current Prices) (100 000 yuan)</t>
  </si>
  <si>
    <t>第一产业占GRP的比重（%） Primary Industry as Percentage to GRP</t>
  </si>
  <si>
    <t>公共财政收入（万元） Public Finance Income</t>
  </si>
  <si>
    <t>社会消费品零售总额(万元） Total Retail Sales of Consumer Goods (10 000 yuan)</t>
  </si>
  <si>
    <t>建成区绿化覆盖面积 (公顷) Green Covered Area of Completed Area (hectare)</t>
  </si>
  <si>
    <t>建成区绿化覆盖率 (%) Green Covered Area as % of Completed Area (%)</t>
  </si>
  <si>
    <t>工业废水排放量 (万吨) Volume of Industrial Waste Water Discharged (10 000 tons)</t>
  </si>
  <si>
    <t>工业二氧化硫排放量 (吨） Volume of Sulphur Dioxide Emission (ton)</t>
  </si>
  <si>
    <t>污水处理厂集中处理率（%） Ratio of waste Water Centralized Treated of Sewage Work</t>
  </si>
  <si>
    <t>全 市 Total City</t>
  </si>
  <si>
    <t>全市 Total City</t>
  </si>
  <si>
    <t>公园绿地面积 Area of Parks and Green Land</t>
  </si>
  <si>
    <t xml:space="preserve">  珠海市</t>
  </si>
  <si>
    <t xml:space="preserve">  厦门市</t>
  </si>
  <si>
    <t xml:space="preserve">  福州市</t>
  </si>
  <si>
    <t xml:space="preserve">  青岛市</t>
  </si>
  <si>
    <t xml:space="preserve">  秦皇岛市</t>
  </si>
  <si>
    <t xml:space="preserve">  大连市</t>
  </si>
  <si>
    <t>中国2016年地级以上城市数据</t>
  </si>
  <si>
    <t>行政区域土地面积及水资源总量</t>
  </si>
  <si>
    <r>
      <rPr>
        <b/>
        <sz val="12"/>
        <rFont val="宋体"/>
        <charset val="0"/>
      </rPr>
      <t>城市建设用地状况统计</t>
    </r>
    <r>
      <rPr>
        <b/>
        <sz val="12"/>
        <rFont val="Arial"/>
        <charset val="0"/>
      </rPr>
      <t>(</t>
    </r>
    <r>
      <rPr>
        <b/>
        <sz val="12"/>
        <rFont val="宋体"/>
        <charset val="0"/>
      </rPr>
      <t>市辖区</t>
    </r>
    <r>
      <rPr>
        <b/>
        <sz val="12"/>
        <rFont val="Arial"/>
        <charset val="0"/>
      </rPr>
      <t>)</t>
    </r>
  </si>
  <si>
    <t>地方公共财政收支状况（万元）</t>
  </si>
  <si>
    <t>年末户籍人口(万人)</t>
  </si>
  <si>
    <t/>
  </si>
  <si>
    <t>水资源总量(万立方米)全市</t>
  </si>
  <si>
    <t>城市建设用地面积(平方公里)</t>
  </si>
  <si>
    <t>城市建设用地占市区面积比重(%)</t>
  </si>
  <si>
    <t>第一产业占GRP的比重</t>
  </si>
  <si>
    <t>市辖区</t>
  </si>
  <si>
    <t>建成区面积市辖区</t>
  </si>
  <si>
    <t>居住用地面积</t>
  </si>
  <si>
    <t>中国2017年地级以上城市数据</t>
  </si>
  <si>
    <t>人口及户数</t>
  </si>
  <si>
    <t>工业废水排放量和二氧化硫及氮氧化物排放量(全市)</t>
  </si>
  <si>
    <t>地区生产总值(市辖区)</t>
  </si>
  <si>
    <t>地区生产总值构成(市辖区)</t>
  </si>
  <si>
    <t>地方一般公共预算收支状况(全市)（万元）</t>
  </si>
  <si>
    <t>社会消费品零售总额及批发零售贸易业情况</t>
  </si>
  <si>
    <t>社会消费品零售总额 (万元） Total Retail Sales of Consumer Goods (10 000 yuan)</t>
  </si>
  <si>
    <t>City</t>
  </si>
  <si>
    <t>年末户籍人口 (万人） Household Registered Population at Year-end (10 000 persons)</t>
  </si>
  <si>
    <t>行政区域土地面积(平方公里）Total Land Area of Administrative region(sq.km)</t>
  </si>
  <si>
    <t>建成区面积Built-up area</t>
  </si>
  <si>
    <t>公园绿地面积 Area of Parks Green Land</t>
  </si>
  <si>
    <t>建成区绿化覆盖面积 (公顷） Green Covered Area of Built-up Area (hectare)</t>
  </si>
  <si>
    <t>建成区绿化覆盖率 (%) Green Covered Area as % of Built-up Area (%)</t>
  </si>
  <si>
    <t>工业二氧化硫排放量 (吨） Volume of Industrial Sulphur Dioxide Emission (ton)</t>
  </si>
  <si>
    <t>污水处理厂集中处理率 (%) Ratio of waste Water Centralized Treated of Sewage Work(%)</t>
  </si>
  <si>
    <t>地区生产总值(当年价格）(万元）Gross Regional Product(Current Prices)(10 000 yuan)</t>
  </si>
  <si>
    <t>第一产业占GDP的比重 Primary Industry as Percentage to GRP</t>
  </si>
  <si>
    <t>地方一般公共预算收入 Local General public budget revenue</t>
  </si>
  <si>
    <r>
      <rPr>
        <sz val="8"/>
        <rFont val="SimSun"/>
        <charset val="134"/>
      </rPr>
      <t>珠海市</t>
    </r>
  </si>
  <si>
    <r>
      <rPr>
        <sz val="8"/>
        <rFont val="Times New Roman"/>
        <charset val="134"/>
      </rPr>
      <t>Zhuhai</t>
    </r>
  </si>
  <si>
    <r>
      <rPr>
        <sz val="8"/>
        <rFont val="SimSun"/>
        <charset val="134"/>
      </rPr>
      <t>厦门市</t>
    </r>
  </si>
  <si>
    <r>
      <rPr>
        <sz val="8"/>
        <rFont val="Times New Roman"/>
        <charset val="134"/>
      </rPr>
      <t>Xiamen</t>
    </r>
  </si>
  <si>
    <r>
      <rPr>
        <sz val="8"/>
        <rFont val="SimSun"/>
        <charset val="134"/>
      </rPr>
      <t>福州市</t>
    </r>
  </si>
  <si>
    <r>
      <rPr>
        <sz val="8"/>
        <rFont val="Times New Roman"/>
        <charset val="134"/>
      </rPr>
      <t>Fuzhou</t>
    </r>
  </si>
  <si>
    <r>
      <rPr>
        <sz val="8"/>
        <rFont val="SimSun"/>
        <charset val="134"/>
      </rPr>
      <t>上海市</t>
    </r>
  </si>
  <si>
    <r>
      <rPr>
        <b/>
        <sz val="8"/>
        <rFont val="Times New Roman"/>
        <charset val="134"/>
      </rPr>
      <t>Shanghai</t>
    </r>
  </si>
  <si>
    <r>
      <rPr>
        <sz val="8"/>
        <rFont val="SimSun"/>
        <charset val="134"/>
      </rPr>
      <t>青岛市</t>
    </r>
  </si>
  <si>
    <r>
      <rPr>
        <sz val="8"/>
        <rFont val="Times New Roman"/>
        <charset val="134"/>
      </rPr>
      <t>Qingdao</t>
    </r>
  </si>
  <si>
    <r>
      <rPr>
        <sz val="8"/>
        <rFont val="SimSun"/>
        <charset val="134"/>
      </rPr>
      <t>秦皇岛市</t>
    </r>
  </si>
  <si>
    <r>
      <rPr>
        <sz val="8"/>
        <rFont val="Times New Roman"/>
        <charset val="134"/>
      </rPr>
      <t>Qinhuangdao</t>
    </r>
  </si>
  <si>
    <r>
      <rPr>
        <sz val="8"/>
        <rFont val="SimSun"/>
        <charset val="134"/>
      </rPr>
      <t>大连市</t>
    </r>
  </si>
  <si>
    <r>
      <rPr>
        <sz val="8"/>
        <rFont val="Times New Roman"/>
        <charset val="134"/>
      </rPr>
      <t>Dalian</t>
    </r>
  </si>
  <si>
    <t>中国2018年地级以上城市数据</t>
  </si>
  <si>
    <t>年末户籍人口 （万人）</t>
  </si>
  <si>
    <t>行政区域土地面积（平方公里）</t>
  </si>
  <si>
    <t>建成区绿化覆盖率 (%)</t>
  </si>
  <si>
    <t>工业废水排放量 (万吨)</t>
  </si>
  <si>
    <t>工业二氧化硫排放量 (吨)</t>
  </si>
  <si>
    <t>污水处理厂集中处理率 (%)</t>
  </si>
  <si>
    <t>地区生产总值(当年价格) (万元)</t>
  </si>
  <si>
    <r>
      <rPr>
        <sz val="10"/>
        <rFont val="黑体"/>
        <charset val="134"/>
      </rPr>
      <t>第</t>
    </r>
    <r>
      <rPr>
        <sz val="10"/>
        <rFont val="宋体"/>
        <charset val="134"/>
      </rPr>
      <t>一</t>
    </r>
    <r>
      <rPr>
        <sz val="10"/>
        <rFont val="黑体"/>
        <charset val="134"/>
      </rPr>
      <t>产业占GDP的比重</t>
    </r>
  </si>
  <si>
    <t>地方一般公共预算收入</t>
  </si>
  <si>
    <t>Household Registered Population at Year-end (10 000 persons)</t>
  </si>
  <si>
    <r>
      <rPr>
        <sz val="8"/>
        <rFont val="Times New Roman"/>
        <charset val="134"/>
      </rPr>
      <t xml:space="preserve">Total Land Area of Administrative region </t>
    </r>
    <r>
      <rPr>
        <sz val="8"/>
        <rFont val="宋体"/>
        <charset val="134"/>
      </rPr>
      <t>（</t>
    </r>
    <r>
      <rPr>
        <sz val="8"/>
        <rFont val="Times New Roman"/>
        <charset val="134"/>
      </rPr>
      <t>sq.km</t>
    </r>
    <r>
      <rPr>
        <sz val="8"/>
        <rFont val="宋体"/>
        <charset val="134"/>
      </rPr>
      <t>）</t>
    </r>
  </si>
  <si>
    <t>建成区面积</t>
  </si>
  <si>
    <t>Green Covered Area as % of Built-up Area (%)</t>
  </si>
  <si>
    <t>Gross Regional Product (Current Prices) (100 000 yuan)</t>
  </si>
  <si>
    <t>Primary Industry as Percentage to GRP</t>
  </si>
  <si>
    <t>Local General public budget revenue</t>
  </si>
  <si>
    <t>Total Retail Sales of Consumer Goods (10 000 yuan)</t>
  </si>
  <si>
    <t>Built-up area</t>
  </si>
  <si>
    <t>Area of Parks Green Land</t>
  </si>
  <si>
    <t>Volume of Industrial Waste Water Discharged (10 000 tons)</t>
  </si>
  <si>
    <t>Volume of Industrial Sulphur Dioxide Emission (ton)</t>
  </si>
  <si>
    <t>Ratio of waste Water Centralized Treated of Sewage Work (%)</t>
  </si>
  <si>
    <t>中国2019年地级以上城市数据</t>
  </si>
  <si>
    <t>2-1 人口及户数</t>
  </si>
  <si>
    <t>2-3 行政区域土地面积及水资源总量</t>
  </si>
  <si>
    <t>2-6 工业废水排放和二氧化硫及所氧化物排放量(全市)</t>
  </si>
  <si>
    <t>2-9 地区生产总值</t>
  </si>
  <si>
    <t>2-10 地区生产总值构成（%）</t>
  </si>
  <si>
    <t>2-11 地方一般公共预算收支状况(全市)                   （万元）</t>
  </si>
  <si>
    <t>2-20 社会消费品零售总额及批发零售贸易业情况</t>
  </si>
  <si>
    <t>行政区域土地面积                 （平方公里）                                  Total Land Area of Administrative Region （sq.km）</t>
  </si>
  <si>
    <t>年末户籍人口 （万人）                      Household Registered Population at Year-end （10 000 persons）</t>
  </si>
  <si>
    <t>建成区面积 Built-up Area</t>
  </si>
  <si>
    <t>建成区绿化覆盖率 (%)                              Green Covered Area as % of Completed Area (%)</t>
  </si>
  <si>
    <t>工业二氧化硫排放量（吨）</t>
  </si>
  <si>
    <t>污水处理厂集中处理率(%)</t>
  </si>
  <si>
    <t>地区生产总值（当年价格） （亿元）                               Gross Regional Product （Current Prices） （100 000 000 yuan）</t>
  </si>
  <si>
    <t>第一产业占地区                  生产总值的比重                   Primary Industry as Percentage to GRP</t>
  </si>
  <si>
    <t>社会消费品零售总额                    (万元)                             Total Retail Sales of Consumer Goods (10 000 yuan)</t>
  </si>
  <si>
    <t>全市                                  Total City</t>
  </si>
  <si>
    <t>全市            Total City</t>
  </si>
  <si>
    <t>市辖区             Districts under City</t>
  </si>
  <si>
    <t>公园绿地面积                      Area of Parks and Green Land</t>
  </si>
  <si>
    <t>Volume of Sulphur Dioxide Emission (ton)</t>
  </si>
  <si>
    <t>全市                         Total City</t>
  </si>
  <si>
    <t>全市               Total City</t>
  </si>
  <si>
    <t xml:space="preserve">  Zhuhai</t>
  </si>
  <si>
    <t xml:space="preserve">  Xiamen</t>
  </si>
  <si>
    <t xml:space="preserve">  Fuzhou</t>
  </si>
  <si>
    <t>Shanghai</t>
  </si>
  <si>
    <t xml:space="preserve">  Qingdao</t>
  </si>
  <si>
    <t xml:space="preserve">  Qinhuangdao</t>
  </si>
  <si>
    <t xml:space="preserve">  Dalian</t>
  </si>
  <si>
    <t>39487000</t>
  </si>
  <si>
    <t>中国2020年地级以上城市数据</t>
  </si>
  <si>
    <t>2-1 人口数</t>
  </si>
  <si>
    <t>2-2 建成区面积及水资源总量</t>
  </si>
  <si>
    <t>2-3 城市建设用地状况(市辖区)</t>
  </si>
  <si>
    <t>2-7 地区生产总值</t>
  </si>
  <si>
    <t>2-8 地区生产总值构成</t>
  </si>
  <si>
    <t>2-9 地方一般公共预算收支状况（全市）              （万元）</t>
  </si>
  <si>
    <t>2-16 社会消费品零售总额及批发零售贸易业情况</t>
  </si>
  <si>
    <t>常住人口                                 Urban Resident Population</t>
  </si>
  <si>
    <t>建成区面积      （平方公里）Built-up Area                 (sq.km)</t>
  </si>
  <si>
    <t>城市建设用地面积 (平方公里)                        Area of Land Used for Urban Construction (sq.km)</t>
  </si>
  <si>
    <t>第一产业占地区                  生产总值的比重（%）                   Primary Industry as Percentage to GRP</t>
  </si>
  <si>
    <t>(%)</t>
  </si>
  <si>
    <t>Gross Regional Product （Current Prices） （100 000 000 yuan）</t>
  </si>
  <si>
    <t>居住用地面积                   Area of Land Used for Living</t>
  </si>
  <si>
    <t>Volume of Sulphur Dioxide Emission</t>
  </si>
  <si>
    <t>Ratio of Waste Water Centralized Treated of Sewage Work(%)</t>
  </si>
  <si>
    <t>中国2021年地级以上城市数据</t>
  </si>
  <si>
    <t>户籍人口 Household Resident Population</t>
  </si>
  <si>
    <r>
      <rPr>
        <sz val="10"/>
        <rFont val="MingLiU"/>
        <charset val="134"/>
      </rPr>
      <t>珠海市</t>
    </r>
  </si>
  <si>
    <r>
      <rPr>
        <sz val="10"/>
        <rFont val="Times New Roman"/>
        <charset val="134"/>
      </rPr>
      <t>Zhuhai</t>
    </r>
  </si>
  <si>
    <r>
      <rPr>
        <sz val="10"/>
        <rFont val="MingLiU"/>
        <charset val="134"/>
      </rPr>
      <t>厦门市</t>
    </r>
  </si>
  <si>
    <r>
      <rPr>
        <sz val="10"/>
        <rFont val="Times New Roman"/>
        <charset val="134"/>
      </rPr>
      <t>Xiamen</t>
    </r>
  </si>
  <si>
    <r>
      <rPr>
        <sz val="10"/>
        <rFont val="MingLiU"/>
        <charset val="134"/>
      </rPr>
      <t>福州市</t>
    </r>
  </si>
  <si>
    <r>
      <rPr>
        <sz val="10"/>
        <rFont val="Times New Roman"/>
        <charset val="134"/>
      </rPr>
      <t>Fuzhou</t>
    </r>
  </si>
  <si>
    <r>
      <rPr>
        <b/>
        <sz val="10"/>
        <rFont val="MingLiU"/>
        <charset val="134"/>
      </rPr>
      <t>上海市</t>
    </r>
  </si>
  <si>
    <r>
      <rPr>
        <b/>
        <sz val="10"/>
        <rFont val="Times New Roman"/>
        <charset val="134"/>
      </rPr>
      <t>Shanghai</t>
    </r>
  </si>
  <si>
    <r>
      <rPr>
        <sz val="10"/>
        <rFont val="MingLiU"/>
        <charset val="134"/>
      </rPr>
      <t>青岛市</t>
    </r>
  </si>
  <si>
    <r>
      <rPr>
        <sz val="10"/>
        <rFont val="Times New Roman"/>
        <charset val="134"/>
      </rPr>
      <t>Qingdao</t>
    </r>
  </si>
  <si>
    <r>
      <rPr>
        <sz val="10"/>
        <rFont val="MingLiU"/>
        <charset val="134"/>
      </rPr>
      <t>秦皇岛市</t>
    </r>
  </si>
  <si>
    <r>
      <rPr>
        <sz val="10"/>
        <rFont val="Times New Roman"/>
        <charset val="134"/>
      </rPr>
      <t>Qinhuangdao</t>
    </r>
  </si>
  <si>
    <r>
      <rPr>
        <sz val="10"/>
        <rFont val="MingLiU"/>
        <charset val="134"/>
      </rPr>
      <t>大连市</t>
    </r>
  </si>
  <si>
    <r>
      <rPr>
        <sz val="10"/>
        <rFont val="Times New Roman"/>
        <charset val="134"/>
      </rPr>
      <t>Dalian</t>
    </r>
  </si>
  <si>
    <t>中国2022年地级以上城市数据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</si>
  <si>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珠海市</t>
    </r>
  </si>
  <si>
    <t xml:space="preserve"> Zhuhai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</si>
  <si>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厦门市</t>
    </r>
  </si>
  <si>
    <t xml:space="preserve"> Xiamen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</si>
  <si>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福州市</t>
    </r>
  </si>
  <si>
    <t xml:space="preserve"> Fuzhou</t>
  </si>
  <si>
    <r>
      <rPr>
        <b/>
        <sz val="10"/>
        <rFont val="宋体"/>
        <charset val="134"/>
      </rPr>
      <t>上海市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</si>
  <si>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青岛市</t>
    </r>
  </si>
  <si>
    <t xml:space="preserve"> Qingdao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</si>
  <si>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秦皇岛市</t>
    </r>
  </si>
  <si>
    <t xml:space="preserve"> Qinhuangdao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</si>
  <si>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大连市</t>
    </r>
  </si>
  <si>
    <t xml:space="preserve"> Dalian</t>
  </si>
  <si>
    <t>中国2023年地级以上城市数据</t>
  </si>
  <si>
    <t>2-6 地区生产总值</t>
  </si>
  <si>
    <t>2-7 地区生产总值构成</t>
  </si>
  <si>
    <t>2-8 地方一般公共预算收支状况（全市）              （万元）</t>
  </si>
  <si>
    <t>常住人口（万人） Permanent Resident Population (10 000 persons)</t>
  </si>
  <si>
    <t>地方本级一般 公共预算收入 Local General Public Budget Revenue</t>
  </si>
  <si>
    <t xml:space="preserve">公园绿地面积 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</si>
  <si>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珠海市</t>
    </r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</si>
  <si>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厦门市</t>
    </r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</si>
  <si>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福州市</t>
    </r>
  </si>
  <si>
    <r>
      <rPr>
        <b/>
        <sz val="11"/>
        <rFont val="宋体"/>
        <charset val="134"/>
      </rPr>
      <t>上海市</t>
    </r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</si>
  <si>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青岛市</t>
    </r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</si>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</sst>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69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黑体"/>
      <charset val="134"/>
    </font>
    <font>
      <b/>
      <sz val="10"/>
      <name val="Arial"/>
      <charset val="134"/>
    </font>
    <font>
      <sz val="12"/>
      <name val="黑体"/>
      <charset val="134"/>
    </font>
    <font>
      <b/>
      <sz val="12"/>
      <name val="宋体"/>
      <charset val="134"/>
    </font>
    <font>
      <sz val="11"/>
      <name val="黑体"/>
      <charset val="134"/>
    </font>
    <font>
      <sz val="11"/>
      <name val="Times New Roman"/>
      <charset val="134"/>
    </font>
    <font>
      <sz val="10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b/>
      <sz val="10"/>
      <name val="Times New Roman"/>
      <charset val="134"/>
    </font>
    <font>
      <sz val="10"/>
      <name val="MingLiU"/>
      <charset val="134"/>
    </font>
    <font>
      <b/>
      <sz val="10"/>
      <name val="MingLiU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  <scheme val="minor"/>
    </font>
    <font>
      <sz val="8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sz val="8"/>
      <name val="黑体"/>
      <charset val="134"/>
    </font>
    <font>
      <sz val="8"/>
      <name val="Arial"/>
      <charset val="134"/>
    </font>
    <font>
      <sz val="11"/>
      <color theme="1"/>
      <name val="黑体"/>
      <charset val="134"/>
    </font>
    <font>
      <sz val="10"/>
      <name val="Arial"/>
      <charset val="0"/>
    </font>
    <font>
      <sz val="12"/>
      <name val="黑体"/>
      <charset val="0"/>
    </font>
    <font>
      <b/>
      <sz val="12"/>
      <name val="宋体"/>
      <charset val="0"/>
    </font>
    <font>
      <b/>
      <sz val="12"/>
      <name val="Arial"/>
      <charset val="0"/>
    </font>
    <font>
      <sz val="11"/>
      <name val="黑体"/>
      <charset val="0"/>
    </font>
    <font>
      <sz val="12"/>
      <name val="Verdana"/>
      <charset val="0"/>
    </font>
    <font>
      <b/>
      <sz val="10"/>
      <name val="宋体"/>
      <charset val="0"/>
    </font>
    <font>
      <sz val="10"/>
      <name val="宋体"/>
      <charset val="134"/>
      <scheme val="major"/>
    </font>
    <font>
      <sz val="12"/>
      <color theme="1"/>
      <name val="黑体"/>
      <charset val="134"/>
    </font>
    <font>
      <b/>
      <sz val="12"/>
      <color theme="1"/>
      <name val="宋体"/>
      <charset val="134"/>
      <scheme val="major"/>
    </font>
    <font>
      <sz val="10"/>
      <color theme="1"/>
      <name val="黑体"/>
      <charset val="134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2"/>
      <color theme="1"/>
      <name val="Arial Unicode MS"/>
      <charset val="134"/>
    </font>
    <font>
      <b/>
      <sz val="12"/>
      <color theme="1"/>
      <name val="宋体"/>
      <charset val="134"/>
      <scheme val="minor"/>
    </font>
    <font>
      <sz val="9.75"/>
      <color theme="1"/>
      <name val="黑体"/>
      <charset val="134"/>
    </font>
    <font>
      <sz val="9.75"/>
      <name val="Arial Unicode MS"/>
      <charset val="134"/>
    </font>
    <font>
      <sz val="9.75"/>
      <color theme="1"/>
      <name val="Arial Unicode MS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8"/>
      <name val="Times New Roman"/>
      <charset val="134"/>
    </font>
    <font>
      <sz val="8"/>
      <name val="SimSun"/>
      <charset val="134"/>
    </font>
    <font>
      <sz val="8"/>
      <name val="宋体"/>
      <charset val="134"/>
    </font>
    <font>
      <b/>
      <sz val="11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AA42"/>
        <bgColor indexed="64"/>
      </patternFill>
    </fill>
    <fill>
      <patternFill patternType="solid">
        <fgColor rgb="FFF7EFD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theme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5" fillId="0" borderId="0">
      <alignment vertical="center"/>
    </xf>
    <xf numFmtId="0" fontId="46" fillId="0" borderId="0">
      <alignment vertical="center"/>
    </xf>
    <xf numFmtId="0" fontId="0" fillId="11" borderId="54">
      <alignment vertical="center"/>
    </xf>
    <xf numFmtId="0" fontId="47" fillId="0" borderId="0">
      <alignment vertical="center"/>
    </xf>
    <xf numFmtId="0" fontId="48" fillId="0" borderId="0">
      <alignment vertical="center"/>
    </xf>
    <xf numFmtId="0" fontId="49" fillId="0" borderId="0">
      <alignment vertical="center"/>
    </xf>
    <xf numFmtId="0" fontId="50" fillId="0" borderId="55">
      <alignment vertical="center"/>
    </xf>
    <xf numFmtId="0" fontId="51" fillId="0" borderId="55">
      <alignment vertical="center"/>
    </xf>
    <xf numFmtId="0" fontId="52" fillId="0" borderId="56">
      <alignment vertical="center"/>
    </xf>
    <xf numFmtId="0" fontId="52" fillId="0" borderId="0">
      <alignment vertical="center"/>
    </xf>
    <xf numFmtId="0" fontId="53" fillId="12" borderId="57">
      <alignment vertical="center"/>
    </xf>
    <xf numFmtId="0" fontId="54" fillId="13" borderId="58">
      <alignment vertical="center"/>
    </xf>
    <xf numFmtId="0" fontId="55" fillId="13" borderId="57">
      <alignment vertical="center"/>
    </xf>
    <xf numFmtId="0" fontId="56" fillId="14" borderId="59">
      <alignment vertical="center"/>
    </xf>
    <xf numFmtId="0" fontId="57" fillId="0" borderId="60">
      <alignment vertical="center"/>
    </xf>
    <xf numFmtId="0" fontId="58" fillId="0" borderId="61">
      <alignment vertical="center"/>
    </xf>
    <xf numFmtId="0" fontId="59" fillId="15" borderId="0">
      <alignment vertical="center"/>
    </xf>
    <xf numFmtId="0" fontId="60" fillId="16" borderId="0">
      <alignment vertical="center"/>
    </xf>
    <xf numFmtId="0" fontId="61" fillId="17" borderId="0">
      <alignment vertical="center"/>
    </xf>
    <xf numFmtId="0" fontId="62" fillId="18" borderId="0">
      <alignment vertical="center"/>
    </xf>
    <xf numFmtId="0" fontId="63" fillId="19" borderId="0">
      <alignment vertical="center"/>
    </xf>
    <xf numFmtId="0" fontId="63" fillId="20" borderId="0">
      <alignment vertical="center"/>
    </xf>
    <xf numFmtId="0" fontId="62" fillId="21" borderId="0">
      <alignment vertical="center"/>
    </xf>
    <xf numFmtId="0" fontId="62" fillId="22" borderId="0">
      <alignment vertical="center"/>
    </xf>
    <xf numFmtId="0" fontId="63" fillId="23" borderId="0">
      <alignment vertical="center"/>
    </xf>
    <xf numFmtId="0" fontId="63" fillId="24" borderId="0">
      <alignment vertical="center"/>
    </xf>
    <xf numFmtId="0" fontId="62" fillId="25" borderId="0">
      <alignment vertical="center"/>
    </xf>
    <xf numFmtId="0" fontId="62" fillId="26" borderId="0">
      <alignment vertical="center"/>
    </xf>
    <xf numFmtId="0" fontId="63" fillId="27" borderId="0">
      <alignment vertical="center"/>
    </xf>
    <xf numFmtId="0" fontId="63" fillId="28" borderId="0">
      <alignment vertical="center"/>
    </xf>
    <xf numFmtId="0" fontId="62" fillId="29" borderId="0">
      <alignment vertical="center"/>
    </xf>
    <xf numFmtId="0" fontId="62" fillId="30" borderId="0">
      <alignment vertical="center"/>
    </xf>
    <xf numFmtId="0" fontId="63" fillId="31" borderId="0">
      <alignment vertical="center"/>
    </xf>
    <xf numFmtId="0" fontId="63" fillId="32" borderId="0">
      <alignment vertical="center"/>
    </xf>
    <xf numFmtId="0" fontId="62" fillId="33" borderId="0">
      <alignment vertical="center"/>
    </xf>
    <xf numFmtId="0" fontId="62" fillId="34" borderId="0">
      <alignment vertical="center"/>
    </xf>
    <xf numFmtId="0" fontId="63" fillId="35" borderId="0">
      <alignment vertical="center"/>
    </xf>
    <xf numFmtId="0" fontId="63" fillId="36" borderId="0">
      <alignment vertical="center"/>
    </xf>
    <xf numFmtId="0" fontId="62" fillId="37" borderId="0">
      <alignment vertical="center"/>
    </xf>
    <xf numFmtId="0" fontId="62" fillId="38" borderId="0">
      <alignment vertical="center"/>
    </xf>
    <xf numFmtId="0" fontId="63" fillId="39" borderId="0">
      <alignment vertical="center"/>
    </xf>
    <xf numFmtId="0" fontId="63" fillId="40" borderId="0">
      <alignment vertical="center"/>
    </xf>
    <xf numFmtId="0" fontId="62" fillId="41" borderId="0">
      <alignment vertical="center"/>
    </xf>
  </cellStyleXfs>
  <cellXfs count="224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 applyProtection="1">
      <alignment horizontal="center" vertical="center" wrapText="1"/>
    </xf>
    <xf numFmtId="0" fontId="7" fillId="0" borderId="12" xfId="0" applyFont="1" applyFill="1" applyBorder="1" applyAlignment="1" applyProtection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4" xfId="0" applyNumberFormat="1" applyFont="1" applyBorder="1" applyAlignment="1">
      <alignment horizontal="center" vertical="center"/>
    </xf>
    <xf numFmtId="0" fontId="7" fillId="0" borderId="13" xfId="0" applyNumberFormat="1" applyFont="1" applyBorder="1" applyAlignment="1">
      <alignment horizontal="center" vertical="center"/>
    </xf>
    <xf numFmtId="0" fontId="8" fillId="0" borderId="14" xfId="0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 applyProtection="1">
      <alignment horizontal="center" vertical="center" wrapText="1"/>
    </xf>
    <xf numFmtId="0" fontId="9" fillId="0" borderId="12" xfId="0" applyFont="1" applyFill="1" applyBorder="1" applyAlignment="1" applyProtection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7" fillId="0" borderId="11" xfId="0" applyNumberFormat="1" applyFont="1" applyFill="1" applyBorder="1" applyAlignment="1" applyProtection="1">
      <alignment horizontal="center" vertical="center" wrapText="1"/>
    </xf>
    <xf numFmtId="49" fontId="7" fillId="0" borderId="12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 applyProtection="1">
      <alignment horizontal="center" vertical="center" wrapText="1"/>
    </xf>
    <xf numFmtId="0" fontId="8" fillId="0" borderId="12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>
      <alignment horizontal="center" vertical="center"/>
    </xf>
    <xf numFmtId="0" fontId="11" fillId="0" borderId="11" xfId="0" applyFont="1" applyFill="1" applyBorder="1" applyAlignment="1" applyProtection="1">
      <alignment horizontal="center" vertical="center" wrapText="1"/>
    </xf>
    <xf numFmtId="0" fontId="11" fillId="0" borderId="12" xfId="0" applyFont="1" applyFill="1" applyBorder="1" applyAlignment="1" applyProtection="1">
      <alignment horizontal="center" vertical="center" wrapText="1"/>
    </xf>
    <xf numFmtId="0" fontId="9" fillId="0" borderId="14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" fontId="8" fillId="0" borderId="13" xfId="0" applyNumberFormat="1" applyFont="1" applyBorder="1" applyAlignment="1">
      <alignment horizontal="center" vertical="center"/>
    </xf>
    <xf numFmtId="1" fontId="8" fillId="0" borderId="14" xfId="0" applyNumberFormat="1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2" fontId="8" fillId="0" borderId="13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1" fontId="11" fillId="0" borderId="13" xfId="0" applyNumberFormat="1" applyFont="1" applyBorder="1" applyAlignment="1">
      <alignment horizontal="center" vertical="center"/>
    </xf>
    <xf numFmtId="1" fontId="11" fillId="0" borderId="14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top"/>
    </xf>
    <xf numFmtId="0" fontId="14" fillId="0" borderId="0" xfId="0" applyFont="1" applyFill="1" applyBorder="1" applyAlignment="1" applyProtection="1">
      <alignment horizontal="center" vertical="center" wrapText="1"/>
    </xf>
    <xf numFmtId="49" fontId="14" fillId="0" borderId="19" xfId="0" applyNumberFormat="1" applyFont="1" applyFill="1" applyBorder="1" applyAlignment="1">
      <alignment horizontal="center" vertical="center"/>
    </xf>
    <xf numFmtId="0" fontId="8" fillId="0" borderId="14" xfId="0" applyNumberFormat="1" applyFont="1" applyFill="1" applyBorder="1" applyAlignment="1" applyProtection="1">
      <alignment horizontal="center" vertical="center" wrapText="1"/>
    </xf>
    <xf numFmtId="0" fontId="8" fillId="0" borderId="14" xfId="0" applyFont="1" applyFill="1" applyBorder="1" applyAlignment="1" applyProtection="1">
      <alignment horizontal="center" vertical="center"/>
    </xf>
    <xf numFmtId="0" fontId="15" fillId="0" borderId="0" xfId="0" applyFont="1" applyFill="1" applyBorder="1" applyAlignment="1" applyProtection="1">
      <alignment horizontal="center" vertical="center" wrapText="1"/>
    </xf>
    <xf numFmtId="49" fontId="15" fillId="0" borderId="19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49" fontId="14" fillId="0" borderId="13" xfId="0" applyNumberFormat="1" applyFont="1" applyFill="1" applyBorder="1" applyAlignment="1">
      <alignment vertical="center"/>
    </xf>
    <xf numFmtId="49" fontId="14" fillId="0" borderId="19" xfId="0" applyNumberFormat="1" applyFont="1" applyFill="1" applyBorder="1" applyAlignment="1">
      <alignment vertical="center"/>
    </xf>
    <xf numFmtId="0" fontId="8" fillId="0" borderId="13" xfId="0" applyNumberFormat="1" applyFont="1" applyFill="1" applyBorder="1" applyAlignment="1">
      <alignment horizontal="center" vertical="center"/>
    </xf>
    <xf numFmtId="49" fontId="15" fillId="0" borderId="13" xfId="0" applyNumberFormat="1" applyFont="1" applyFill="1" applyBorder="1" applyAlignment="1">
      <alignment vertical="center"/>
    </xf>
    <xf numFmtId="49" fontId="15" fillId="0" borderId="19" xfId="0" applyNumberFormat="1" applyFont="1" applyFill="1" applyBorder="1" applyAlignment="1">
      <alignment vertical="center"/>
    </xf>
    <xf numFmtId="49" fontId="8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16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14" fillId="0" borderId="11" xfId="0" applyNumberFormat="1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 wrapText="1"/>
    </xf>
    <xf numFmtId="49" fontId="15" fillId="0" borderId="11" xfId="0" applyNumberFormat="1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top" wrapText="1"/>
    </xf>
    <xf numFmtId="0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0" fillId="3" borderId="14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24" xfId="0" applyFont="1" applyFill="1" applyBorder="1" applyAlignment="1">
      <alignment horizontal="center" vertical="center"/>
    </xf>
    <xf numFmtId="0" fontId="20" fillId="3" borderId="24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/>
    </xf>
    <xf numFmtId="0" fontId="21" fillId="0" borderId="14" xfId="0" applyFont="1" applyFill="1" applyBorder="1" applyAlignment="1">
      <alignment horizontal="center"/>
    </xf>
    <xf numFmtId="0" fontId="17" fillId="0" borderId="14" xfId="0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0" fontId="21" fillId="0" borderId="14" xfId="0" applyFont="1" applyFill="1" applyBorder="1" applyAlignment="1">
      <alignment horizontal="center" vertical="top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Fill="1" applyBorder="1" applyAlignment="1"/>
    <xf numFmtId="0" fontId="24" fillId="0" borderId="0" xfId="0" applyFont="1" applyFill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7" fillId="5" borderId="25" xfId="0" applyFont="1" applyFill="1" applyBorder="1" applyAlignment="1">
      <alignment horizontal="center" vertical="center" wrapText="1"/>
    </xf>
    <xf numFmtId="0" fontId="27" fillId="5" borderId="26" xfId="0" applyFont="1" applyFill="1" applyBorder="1" applyAlignment="1">
      <alignment horizontal="center" vertical="center" wrapText="1"/>
    </xf>
    <xf numFmtId="0" fontId="27" fillId="5" borderId="26" xfId="0" applyFont="1" applyFill="1" applyBorder="1" applyAlignment="1">
      <alignment horizontal="center" vertical="center"/>
    </xf>
    <xf numFmtId="0" fontId="27" fillId="5" borderId="27" xfId="0" applyFont="1" applyFill="1" applyBorder="1" applyAlignment="1">
      <alignment horizontal="center" vertical="center"/>
    </xf>
    <xf numFmtId="0" fontId="27" fillId="5" borderId="28" xfId="0" applyFont="1" applyFill="1" applyBorder="1" applyAlignment="1">
      <alignment horizontal="center" vertical="center" wrapText="1"/>
    </xf>
    <xf numFmtId="0" fontId="27" fillId="5" borderId="29" xfId="0" applyFont="1" applyFill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7" fillId="5" borderId="31" xfId="0" applyFont="1" applyFill="1" applyBorder="1" applyAlignment="1">
      <alignment horizontal="center" vertical="center"/>
    </xf>
    <xf numFmtId="0" fontId="27" fillId="5" borderId="31" xfId="0" applyFont="1" applyFill="1" applyBorder="1" applyAlignment="1">
      <alignment horizontal="center" vertical="center" wrapText="1"/>
    </xf>
    <xf numFmtId="0" fontId="27" fillId="5" borderId="31" xfId="0" applyFont="1" applyFill="1" applyBorder="1" applyAlignment="1">
      <alignment horizontal="center"/>
    </xf>
    <xf numFmtId="0" fontId="28" fillId="5" borderId="31" xfId="0" applyFont="1" applyFill="1" applyBorder="1" applyAlignment="1">
      <alignment horizontal="center"/>
    </xf>
    <xf numFmtId="0" fontId="28" fillId="5" borderId="32" xfId="0" applyFont="1" applyFill="1" applyBorder="1" applyAlignment="1">
      <alignment horizontal="center"/>
    </xf>
    <xf numFmtId="0" fontId="27" fillId="5" borderId="33" xfId="0" applyFont="1" applyFill="1" applyBorder="1" applyAlignment="1">
      <alignment horizontal="center" vertical="center" wrapText="1"/>
    </xf>
    <xf numFmtId="0" fontId="27" fillId="5" borderId="34" xfId="0" applyFont="1" applyFill="1" applyBorder="1" applyAlignment="1">
      <alignment horizontal="center" vertical="center" wrapText="1"/>
    </xf>
    <xf numFmtId="0" fontId="23" fillId="0" borderId="31" xfId="0" applyFont="1" applyFill="1" applyBorder="1" applyAlignment="1">
      <alignment horizontal="center"/>
    </xf>
    <xf numFmtId="0" fontId="23" fillId="6" borderId="31" xfId="0" applyNumberFormat="1" applyFont="1" applyFill="1" applyBorder="1" applyAlignment="1">
      <alignment horizontal="center"/>
    </xf>
    <xf numFmtId="0" fontId="23" fillId="6" borderId="31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30" fillId="0" borderId="0" xfId="0" applyFont="1" applyFill="1" applyAlignment="1">
      <alignment vertical="center"/>
    </xf>
    <xf numFmtId="0" fontId="30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1" fillId="0" borderId="23" xfId="0" applyFont="1" applyFill="1" applyBorder="1" applyAlignment="1">
      <alignment horizontal="center" vertical="top" wrapText="1"/>
    </xf>
    <xf numFmtId="0" fontId="32" fillId="7" borderId="14" xfId="0" applyFont="1" applyFill="1" applyBorder="1" applyAlignment="1">
      <alignment horizontal="center" vertical="center"/>
    </xf>
    <xf numFmtId="0" fontId="32" fillId="7" borderId="11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/>
    </xf>
    <xf numFmtId="0" fontId="32" fillId="7" borderId="23" xfId="0" applyFont="1" applyFill="1" applyBorder="1" applyAlignment="1">
      <alignment horizontal="center" vertical="center" wrapText="1"/>
    </xf>
    <xf numFmtId="0" fontId="32" fillId="7" borderId="36" xfId="0" applyFont="1" applyFill="1" applyBorder="1" applyAlignment="1">
      <alignment horizontal="center" vertical="center" wrapText="1"/>
    </xf>
    <xf numFmtId="0" fontId="32" fillId="7" borderId="14" xfId="0" applyFont="1" applyFill="1" applyBorder="1" applyAlignment="1">
      <alignment horizontal="center" vertical="center" wrapText="1"/>
    </xf>
    <xf numFmtId="0" fontId="30" fillId="0" borderId="0" xfId="0" applyFont="1" applyFill="1" applyAlignment="1">
      <alignment horizontal="center" vertical="center"/>
    </xf>
    <xf numFmtId="0" fontId="31" fillId="0" borderId="37" xfId="0" applyFont="1" applyFill="1" applyBorder="1" applyAlignment="1">
      <alignment horizontal="center" vertical="top" wrapText="1"/>
    </xf>
    <xf numFmtId="0" fontId="32" fillId="7" borderId="21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 wrapText="1"/>
    </xf>
    <xf numFmtId="0" fontId="32" fillId="7" borderId="0" xfId="0" applyFont="1" applyFill="1" applyAlignment="1">
      <alignment horizontal="center" vertical="center"/>
    </xf>
    <xf numFmtId="0" fontId="32" fillId="7" borderId="38" xfId="0" applyFont="1" applyFill="1" applyBorder="1" applyAlignment="1">
      <alignment horizontal="center" vertical="center"/>
    </xf>
    <xf numFmtId="0" fontId="32" fillId="7" borderId="39" xfId="0" applyFont="1" applyFill="1" applyBorder="1" applyAlignment="1">
      <alignment horizontal="center" vertical="center" wrapText="1"/>
    </xf>
    <xf numFmtId="0" fontId="32" fillId="7" borderId="38" xfId="0" applyFont="1" applyFill="1" applyBorder="1" applyAlignment="1">
      <alignment horizontal="center" vertical="center" wrapText="1"/>
    </xf>
    <xf numFmtId="0" fontId="32" fillId="7" borderId="21" xfId="0" applyFont="1" applyFill="1" applyBorder="1" applyAlignment="1">
      <alignment horizontal="center" vertical="center" wrapText="1"/>
    </xf>
    <xf numFmtId="0" fontId="33" fillId="2" borderId="5" xfId="0" applyFont="1" applyFill="1" applyBorder="1" applyAlignment="1">
      <alignment horizontal="center" vertical="center"/>
    </xf>
    <xf numFmtId="0" fontId="33" fillId="2" borderId="10" xfId="0" applyFont="1" applyFill="1" applyBorder="1" applyAlignment="1">
      <alignment horizontal="center" vertical="center" wrapText="1"/>
    </xf>
    <xf numFmtId="0" fontId="33" fillId="2" borderId="8" xfId="0" applyFont="1" applyFill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center" vertical="center" wrapText="1"/>
    </xf>
    <xf numFmtId="0" fontId="33" fillId="2" borderId="16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3" fillId="2" borderId="10" xfId="0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center" vertical="center"/>
    </xf>
    <xf numFmtId="0" fontId="34" fillId="0" borderId="4" xfId="0" applyNumberFormat="1" applyFont="1" applyFill="1" applyBorder="1" applyAlignment="1">
      <alignment horizontal="center" vertical="center"/>
    </xf>
    <xf numFmtId="0" fontId="34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49" fontId="15" fillId="0" borderId="0" xfId="0" applyNumberFormat="1" applyFont="1" applyFill="1" applyAlignment="1">
      <alignment horizontal="center" vertical="center"/>
    </xf>
    <xf numFmtId="0" fontId="35" fillId="0" borderId="4" xfId="0" applyNumberFormat="1" applyFont="1" applyFill="1" applyBorder="1" applyAlignment="1">
      <alignment horizontal="center" vertical="center"/>
    </xf>
    <xf numFmtId="0" fontId="35" fillId="0" borderId="0" xfId="0" applyNumberFormat="1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6" fillId="0" borderId="40" xfId="0" applyFont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/>
    </xf>
    <xf numFmtId="0" fontId="22" fillId="8" borderId="43" xfId="0" applyFont="1" applyFill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38" fillId="8" borderId="47" xfId="0" applyFont="1" applyFill="1" applyBorder="1" applyAlignment="1">
      <alignment horizontal="center" vertical="center" wrapText="1"/>
    </xf>
    <xf numFmtId="0" fontId="22" fillId="8" borderId="48" xfId="0" applyFont="1" applyFill="1" applyBorder="1" applyAlignment="1">
      <alignment horizontal="center" vertical="center" wrapText="1"/>
    </xf>
    <xf numFmtId="0" fontId="22" fillId="8" borderId="49" xfId="0" applyFont="1" applyFill="1" applyBorder="1" applyAlignment="1">
      <alignment horizontal="center" vertical="center" wrapText="1"/>
    </xf>
    <xf numFmtId="0" fontId="22" fillId="8" borderId="50" xfId="0" applyFont="1" applyFill="1" applyBorder="1" applyAlignment="1">
      <alignment horizontal="center" vertical="center" wrapText="1"/>
    </xf>
    <xf numFmtId="0" fontId="33" fillId="8" borderId="51" xfId="0" applyFont="1" applyFill="1" applyBorder="1" applyAlignment="1">
      <alignment horizontal="center" vertical="center" wrapText="1"/>
    </xf>
    <xf numFmtId="0" fontId="33" fillId="8" borderId="47" xfId="0" applyFont="1" applyFill="1" applyBorder="1" applyAlignment="1">
      <alignment horizontal="center" vertical="center" wrapText="1"/>
    </xf>
    <xf numFmtId="0" fontId="22" fillId="8" borderId="47" xfId="0" applyFont="1" applyFill="1" applyBorder="1" applyAlignment="1">
      <alignment horizontal="center" vertical="center" wrapText="1"/>
    </xf>
    <xf numFmtId="0" fontId="22" fillId="8" borderId="52" xfId="0" applyFont="1" applyFill="1" applyBorder="1" applyAlignment="1">
      <alignment horizontal="center" vertical="center" wrapText="1"/>
    </xf>
    <xf numFmtId="0" fontId="22" fillId="8" borderId="53" xfId="0" applyFont="1" applyFill="1" applyBorder="1" applyAlignment="1">
      <alignment horizontal="center" vertical="center" wrapText="1"/>
    </xf>
    <xf numFmtId="0" fontId="39" fillId="0" borderId="51" xfId="0" applyFont="1" applyFill="1" applyBorder="1" applyAlignment="1">
      <alignment horizontal="center" vertical="center" wrapText="1"/>
    </xf>
    <xf numFmtId="0" fontId="40" fillId="9" borderId="47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43" fillId="0" borderId="0" xfId="0" applyFont="1" applyFill="1" applyAlignment="1"/>
    <xf numFmtId="0" fontId="4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"/>
  <sheetViews>
    <sheetView tabSelected="1" workbookViewId="0">
      <selection activeCell="M28" sqref="M28"/>
    </sheetView>
  </sheetViews>
  <sheetFormatPr defaultColWidth="9" defaultRowHeight="13.5"/>
  <cols>
    <col min="1" max="1" width="31.6283185840708" style="4" customWidth="1"/>
    <col min="2" max="2" width="8.50442477876106" style="4" customWidth="1"/>
    <col min="3" max="7" width="9.3716814159292" style="4"/>
    <col min="8" max="8" width="9" style="4"/>
    <col min="9" max="16" width="9.3716814159292" style="4"/>
    <col min="17" max="19" width="12.6283185840708" style="4"/>
    <col min="20" max="22" width="13.7522123893805" style="4"/>
    <col min="23" max="26" width="13.7522123893805"/>
  </cols>
  <sheetData>
    <row r="1" spans="1:26">
      <c r="A1" s="218" t="s">
        <v>0</v>
      </c>
      <c r="B1" s="218">
        <v>2014</v>
      </c>
      <c r="C1" s="218">
        <v>2015</v>
      </c>
      <c r="D1" s="218">
        <v>2016</v>
      </c>
      <c r="E1" s="218">
        <v>2017</v>
      </c>
      <c r="F1" s="218">
        <v>2018</v>
      </c>
      <c r="G1" s="218">
        <v>2019</v>
      </c>
      <c r="H1" s="218">
        <v>2020</v>
      </c>
      <c r="I1" s="218">
        <v>2021</v>
      </c>
      <c r="J1" s="4">
        <v>2022</v>
      </c>
      <c r="K1" s="4">
        <v>2023</v>
      </c>
      <c r="L1" s="4" t="s">
        <v>1</v>
      </c>
      <c r="N1" s="4" t="s">
        <v>2</v>
      </c>
      <c r="O1" s="219" t="s">
        <v>3</v>
      </c>
      <c r="P1" s="4" t="s">
        <v>4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ht="15.75" spans="1:26">
      <c r="A2" s="220" t="s">
        <v>5</v>
      </c>
      <c r="B2" s="4">
        <v>1867.21</v>
      </c>
      <c r="C2" s="4">
        <v>2025.41</v>
      </c>
      <c r="D2" s="4">
        <v>2226.37</v>
      </c>
      <c r="E2" s="4">
        <v>2675.18</v>
      </c>
      <c r="F2" s="4">
        <v>2914.74</v>
      </c>
      <c r="G2" s="4">
        <v>3436</v>
      </c>
      <c r="H2" s="4">
        <v>3482</v>
      </c>
      <c r="I2" s="4">
        <v>3882</v>
      </c>
      <c r="J2" s="4">
        <v>4045</v>
      </c>
      <c r="K2" s="40">
        <v>4233</v>
      </c>
      <c r="L2" s="222">
        <v>4046</v>
      </c>
      <c r="M2" s="223" t="s">
        <v>6</v>
      </c>
      <c r="N2" s="4">
        <f>MAX(B2:K2)</f>
        <v>4233</v>
      </c>
      <c r="O2" s="4">
        <f>MIN(B2:K2)</f>
        <v>1867.21</v>
      </c>
      <c r="P2" s="4">
        <f>N2-O2</f>
        <v>2365.79</v>
      </c>
      <c r="Q2" s="4">
        <f>(B2-O2)/P2</f>
        <v>0</v>
      </c>
      <c r="R2" s="4">
        <f>(C2-O2)/P2</f>
        <v>0.0668698405183892</v>
      </c>
      <c r="S2" s="4">
        <f>(D2-O2)/P2</f>
        <v>0.151813981798892</v>
      </c>
      <c r="T2" s="4">
        <f>(E2-O2)/P2</f>
        <v>0.34152228219749</v>
      </c>
      <c r="U2" s="4">
        <f>(F2-O2)/P2</f>
        <v>0.442782326411051</v>
      </c>
      <c r="V2" s="4">
        <f>(G2-O2)/P2</f>
        <v>0.663114646693071</v>
      </c>
      <c r="W2" s="4">
        <f>(H2-O2)/P2</f>
        <v>0.682558468841275</v>
      </c>
      <c r="X2" s="4">
        <f>(I2-O2)/P2</f>
        <v>0.851635183173485</v>
      </c>
      <c r="Y2" s="4">
        <f>(J2-O2)/P2</f>
        <v>0.920533944263861</v>
      </c>
      <c r="Z2" s="4">
        <f>(K2-O2)/P2</f>
        <v>1</v>
      </c>
    </row>
    <row r="3" ht="15.75" spans="1:26">
      <c r="A3" s="220" t="s">
        <v>7</v>
      </c>
      <c r="B3" s="4">
        <v>186</v>
      </c>
      <c r="C3" s="171">
        <v>189</v>
      </c>
      <c r="D3" s="4">
        <v>195</v>
      </c>
      <c r="E3" s="4">
        <v>207</v>
      </c>
      <c r="F3" s="4">
        <v>220</v>
      </c>
      <c r="G3" s="4">
        <v>233</v>
      </c>
      <c r="H3" s="4">
        <v>245</v>
      </c>
      <c r="I3" s="4">
        <v>246</v>
      </c>
      <c r="J3" s="4">
        <v>247</v>
      </c>
      <c r="K3" s="4">
        <v>249</v>
      </c>
      <c r="L3" s="222">
        <v>247.999870915081</v>
      </c>
      <c r="M3" s="223" t="s">
        <v>6</v>
      </c>
      <c r="N3" s="4">
        <f t="shared" ref="N3:N11" si="0">MAX(B3:K3)</f>
        <v>249</v>
      </c>
      <c r="O3" s="4">
        <f t="shared" ref="O3:O24" si="1">MIN(B3:K3)</f>
        <v>186</v>
      </c>
      <c r="P3" s="4">
        <f t="shared" ref="P3:P24" si="2">N3-O3</f>
        <v>63</v>
      </c>
      <c r="Q3" s="4">
        <f t="shared" ref="Q3:Q24" si="3">(B3-O3)/P3</f>
        <v>0</v>
      </c>
      <c r="R3" s="4">
        <f t="shared" ref="R3:R24" si="4">(C3-O3)/P3</f>
        <v>0.0476190476190476</v>
      </c>
      <c r="S3" s="4">
        <f t="shared" ref="S3:S11" si="5">(D3-O3)/P3</f>
        <v>0.142857142857143</v>
      </c>
      <c r="T3" s="4">
        <f t="shared" ref="T3:T24" si="6">(E3-O3)/P3</f>
        <v>0.333333333333333</v>
      </c>
      <c r="U3" s="4">
        <f t="shared" ref="U3:U24" si="7">(F3-O3)/P3</f>
        <v>0.53968253968254</v>
      </c>
      <c r="V3" s="4">
        <f t="shared" ref="V3:V24" si="8">(G3-O3)/P3</f>
        <v>0.746031746031746</v>
      </c>
      <c r="W3" s="4">
        <f t="shared" ref="W3:W24" si="9">(H3-O3)/P3</f>
        <v>0.936507936507937</v>
      </c>
      <c r="X3" s="4">
        <f t="shared" ref="X3:X24" si="10">(I3-O3)/P3</f>
        <v>0.952380952380952</v>
      </c>
      <c r="Y3" s="4">
        <f t="shared" ref="Y3:Y24" si="11">(J3-O3)/P3</f>
        <v>0.968253968253968</v>
      </c>
      <c r="Z3" s="4">
        <f t="shared" ref="Z3:Z24" si="12">(K3-O3)/P3</f>
        <v>1</v>
      </c>
    </row>
    <row r="4" ht="15.75" spans="1:26">
      <c r="A4" s="220" t="s">
        <v>8</v>
      </c>
      <c r="B4" s="4">
        <v>378.79</v>
      </c>
      <c r="C4" s="4">
        <v>384.74</v>
      </c>
      <c r="D4" s="4">
        <v>391.57</v>
      </c>
      <c r="E4" s="4">
        <v>394.07</v>
      </c>
      <c r="F4" s="4">
        <v>422.32</v>
      </c>
      <c r="G4" s="4">
        <v>437.32</v>
      </c>
      <c r="H4" s="4">
        <v>454.27</v>
      </c>
      <c r="I4" s="4">
        <v>257.73</v>
      </c>
      <c r="J4" s="4">
        <v>560.3</v>
      </c>
      <c r="K4" s="4">
        <v>599.66</v>
      </c>
      <c r="L4" s="222">
        <v>559.3</v>
      </c>
      <c r="M4" s="40" t="s">
        <v>9</v>
      </c>
      <c r="N4" s="4">
        <f t="shared" si="0"/>
        <v>599.66</v>
      </c>
      <c r="O4" s="4">
        <f t="shared" si="1"/>
        <v>257.73</v>
      </c>
      <c r="P4" s="4">
        <f t="shared" si="2"/>
        <v>341.93</v>
      </c>
      <c r="Q4" s="4">
        <f>(N4-B4)/P4</f>
        <v>0.645950925628052</v>
      </c>
      <c r="R4" s="4">
        <f>(N4-C4)/P4</f>
        <v>0.628549703155617</v>
      </c>
      <c r="S4" s="4">
        <f>(N4-D4)/P4</f>
        <v>0.608574854502384</v>
      </c>
      <c r="T4" s="4">
        <f>(N4-E4)/P4</f>
        <v>0.601263416488755</v>
      </c>
      <c r="U4" s="4">
        <f>(N4-F4)/P4</f>
        <v>0.518644166934753</v>
      </c>
      <c r="V4" s="4">
        <f>(N4-G4)/P4</f>
        <v>0.474775538852982</v>
      </c>
      <c r="W4" s="4">
        <f>(N4-H4)/P4</f>
        <v>0.42520398912058</v>
      </c>
      <c r="X4" s="4">
        <f>(N4-I4)/P4</f>
        <v>1</v>
      </c>
      <c r="Y4" s="4">
        <f>(N4-J4)/P4</f>
        <v>0.115111280086567</v>
      </c>
      <c r="Z4" s="4">
        <f>(N4-K4)/P4</f>
        <v>0</v>
      </c>
    </row>
    <row r="5" ht="15.75" spans="1:26">
      <c r="A5" s="220" t="s">
        <v>10</v>
      </c>
      <c r="B5" s="4">
        <v>1.08</v>
      </c>
      <c r="C5" s="4">
        <v>1.17</v>
      </c>
      <c r="D5" s="4">
        <v>1.29</v>
      </c>
      <c r="E5" s="4">
        <v>1.54</v>
      </c>
      <c r="F5" s="4">
        <v>1.68</v>
      </c>
      <c r="G5" s="4">
        <v>1.98</v>
      </c>
      <c r="H5" s="4">
        <v>2.01</v>
      </c>
      <c r="I5" s="4">
        <v>2.24</v>
      </c>
      <c r="J5" s="4">
        <v>2.33</v>
      </c>
      <c r="K5" s="4">
        <v>2.44</v>
      </c>
      <c r="L5" s="222">
        <v>3.08003384191471</v>
      </c>
      <c r="M5" s="223" t="s">
        <v>6</v>
      </c>
      <c r="N5" s="4">
        <f t="shared" si="0"/>
        <v>2.44</v>
      </c>
      <c r="O5" s="4">
        <f t="shared" si="1"/>
        <v>1.08</v>
      </c>
      <c r="P5" s="4">
        <f t="shared" si="2"/>
        <v>1.36</v>
      </c>
      <c r="Q5" s="4">
        <f t="shared" si="3"/>
        <v>0</v>
      </c>
      <c r="R5" s="4">
        <f t="shared" si="4"/>
        <v>0.0661764705882352</v>
      </c>
      <c r="S5" s="4">
        <f t="shared" si="5"/>
        <v>0.154411764705882</v>
      </c>
      <c r="T5" s="4">
        <f t="shared" si="6"/>
        <v>0.338235294117647</v>
      </c>
      <c r="U5" s="4">
        <f t="shared" si="7"/>
        <v>0.441176470588235</v>
      </c>
      <c r="V5" s="4">
        <f t="shared" si="8"/>
        <v>0.661764705882353</v>
      </c>
      <c r="W5" s="4">
        <f t="shared" si="9"/>
        <v>0.683823529411765</v>
      </c>
      <c r="X5" s="4">
        <f t="shared" si="10"/>
        <v>0.852941176470588</v>
      </c>
      <c r="Y5" s="4">
        <f t="shared" si="11"/>
        <v>0.919117647058824</v>
      </c>
      <c r="Z5" s="4">
        <f t="shared" si="12"/>
        <v>1</v>
      </c>
    </row>
    <row r="6" ht="15.75" spans="1:26">
      <c r="A6" s="220" t="s">
        <v>11</v>
      </c>
      <c r="B6" s="4">
        <v>12059.48</v>
      </c>
      <c r="C6" s="4">
        <v>14283.78</v>
      </c>
      <c r="D6" s="4">
        <v>14993.25</v>
      </c>
      <c r="E6" s="4">
        <v>15187.25</v>
      </c>
      <c r="F6" s="4">
        <v>15066.83</v>
      </c>
      <c r="G6" s="4">
        <v>14784.83</v>
      </c>
      <c r="H6" s="4">
        <v>15474.8</v>
      </c>
      <c r="I6" s="4">
        <v>8779.58</v>
      </c>
      <c r="J6" s="4">
        <v>17708.76</v>
      </c>
      <c r="K6" s="4">
        <v>19377.86</v>
      </c>
      <c r="L6" s="222">
        <v>17707.76</v>
      </c>
      <c r="M6" s="223" t="s">
        <v>6</v>
      </c>
      <c r="N6" s="4">
        <f t="shared" si="0"/>
        <v>19377.86</v>
      </c>
      <c r="O6" s="4">
        <f t="shared" si="1"/>
        <v>8779.58</v>
      </c>
      <c r="P6" s="4">
        <f t="shared" si="2"/>
        <v>10598.28</v>
      </c>
      <c r="Q6" s="4">
        <f t="shared" si="3"/>
        <v>0.309474744958616</v>
      </c>
      <c r="R6" s="4">
        <f t="shared" si="4"/>
        <v>0.519348422574229</v>
      </c>
      <c r="S6" s="4">
        <f t="shared" si="5"/>
        <v>0.586290416935578</v>
      </c>
      <c r="T6" s="4">
        <f t="shared" si="6"/>
        <v>0.604595273950113</v>
      </c>
      <c r="U6" s="4">
        <f t="shared" si="7"/>
        <v>0.593233052910472</v>
      </c>
      <c r="V6" s="4">
        <f t="shared" si="8"/>
        <v>0.566624961786252</v>
      </c>
      <c r="W6" s="4">
        <f t="shared" si="9"/>
        <v>0.631727034952841</v>
      </c>
      <c r="X6" s="4">
        <f t="shared" si="10"/>
        <v>0</v>
      </c>
      <c r="Y6" s="4">
        <f t="shared" si="11"/>
        <v>0.842512181221858</v>
      </c>
      <c r="Z6" s="4">
        <f t="shared" si="12"/>
        <v>1</v>
      </c>
    </row>
    <row r="7" ht="15.75" spans="1:26">
      <c r="A7" s="220" t="s">
        <v>12</v>
      </c>
      <c r="B7" s="4">
        <v>1135.05</v>
      </c>
      <c r="C7" s="4">
        <v>1305.14</v>
      </c>
      <c r="D7" s="4">
        <v>1389.75</v>
      </c>
      <c r="E7" s="4">
        <v>1662.02</v>
      </c>
      <c r="F7" s="4">
        <v>1858.57</v>
      </c>
      <c r="G7" s="4">
        <v>1971.88</v>
      </c>
      <c r="H7" s="4">
        <v>2230.41</v>
      </c>
      <c r="I7" s="4">
        <v>2161.8</v>
      </c>
      <c r="J7" s="4">
        <v>1973.16</v>
      </c>
      <c r="K7" s="4">
        <v>1713.47</v>
      </c>
      <c r="L7" s="222">
        <v>1972.16000001319</v>
      </c>
      <c r="M7" s="223" t="s">
        <v>6</v>
      </c>
      <c r="N7" s="4">
        <f t="shared" si="0"/>
        <v>2230.41</v>
      </c>
      <c r="O7" s="4">
        <f t="shared" si="1"/>
        <v>1135.05</v>
      </c>
      <c r="P7" s="4">
        <f t="shared" si="2"/>
        <v>1095.36</v>
      </c>
      <c r="Q7" s="4">
        <f t="shared" si="3"/>
        <v>0</v>
      </c>
      <c r="R7" s="4">
        <f t="shared" si="4"/>
        <v>0.155282281624306</v>
      </c>
      <c r="S7" s="4">
        <f t="shared" si="5"/>
        <v>0.232526292725679</v>
      </c>
      <c r="T7" s="4">
        <f t="shared" si="6"/>
        <v>0.481092973999416</v>
      </c>
      <c r="U7" s="4">
        <f t="shared" si="7"/>
        <v>0.660531697341513</v>
      </c>
      <c r="V7" s="4">
        <f t="shared" si="8"/>
        <v>0.763977139935729</v>
      </c>
      <c r="W7" s="4">
        <f t="shared" si="9"/>
        <v>1</v>
      </c>
      <c r="X7" s="4">
        <f t="shared" si="10"/>
        <v>0.937363058720421</v>
      </c>
      <c r="Y7" s="4">
        <f t="shared" si="11"/>
        <v>0.765145705521473</v>
      </c>
      <c r="Z7" s="4">
        <f t="shared" si="12"/>
        <v>0.528063832895121</v>
      </c>
    </row>
    <row r="8" ht="15.75" spans="1:26">
      <c r="A8" s="220" t="s">
        <v>13</v>
      </c>
      <c r="B8" s="4">
        <v>43855.62</v>
      </c>
      <c r="C8" s="4">
        <v>48317.5</v>
      </c>
      <c r="D8" s="4">
        <v>52109.14</v>
      </c>
      <c r="E8" s="4">
        <v>54501.27</v>
      </c>
      <c r="F8" s="4">
        <v>52756.35</v>
      </c>
      <c r="G8" s="4">
        <v>42759.6</v>
      </c>
      <c r="H8" s="4">
        <v>37602.5</v>
      </c>
      <c r="I8" s="4">
        <v>21333.66</v>
      </c>
      <c r="J8" s="4">
        <v>42294.49</v>
      </c>
      <c r="K8" s="4">
        <v>43332.19</v>
      </c>
      <c r="L8" s="222">
        <v>42293.49</v>
      </c>
      <c r="M8" s="223" t="s">
        <v>6</v>
      </c>
      <c r="N8" s="4">
        <f t="shared" si="0"/>
        <v>54501.27</v>
      </c>
      <c r="O8" s="4">
        <f t="shared" si="1"/>
        <v>21333.66</v>
      </c>
      <c r="P8" s="4">
        <f t="shared" si="2"/>
        <v>33167.61</v>
      </c>
      <c r="Q8" s="4">
        <f t="shared" si="3"/>
        <v>0.679034757101884</v>
      </c>
      <c r="R8" s="4">
        <f t="shared" si="4"/>
        <v>0.813559976133342</v>
      </c>
      <c r="S8" s="4">
        <f t="shared" si="5"/>
        <v>0.927877528709485</v>
      </c>
      <c r="T8" s="4">
        <f t="shared" si="6"/>
        <v>1</v>
      </c>
      <c r="U8" s="4">
        <f t="shared" si="7"/>
        <v>0.947390843054414</v>
      </c>
      <c r="V8" s="4">
        <f t="shared" si="8"/>
        <v>0.64598986782587</v>
      </c>
      <c r="W8" s="4">
        <f t="shared" si="9"/>
        <v>0.490503837931042</v>
      </c>
      <c r="X8" s="4">
        <f t="shared" si="10"/>
        <v>0</v>
      </c>
      <c r="Y8" s="4">
        <f t="shared" si="11"/>
        <v>0.631966849586087</v>
      </c>
      <c r="Z8" s="4">
        <f t="shared" si="12"/>
        <v>0.663253396913435</v>
      </c>
    </row>
    <row r="9" ht="15.75" spans="1:26">
      <c r="A9" s="220" t="s">
        <v>14</v>
      </c>
      <c r="B9" s="4">
        <v>97.65</v>
      </c>
      <c r="C9" s="4">
        <v>97.77</v>
      </c>
      <c r="D9" s="4">
        <v>98.04</v>
      </c>
      <c r="E9" s="4">
        <v>98.17</v>
      </c>
      <c r="F9" s="4">
        <v>98.28</v>
      </c>
      <c r="G9" s="4">
        <v>98.33</v>
      </c>
      <c r="H9" s="4">
        <v>98.28</v>
      </c>
      <c r="I9" s="4">
        <v>98.58</v>
      </c>
      <c r="J9" s="4">
        <v>98.5</v>
      </c>
      <c r="K9" s="4">
        <v>98.35</v>
      </c>
      <c r="L9" s="222">
        <v>99.5</v>
      </c>
      <c r="M9" s="223" t="s">
        <v>6</v>
      </c>
      <c r="N9" s="4">
        <f t="shared" si="0"/>
        <v>98.58</v>
      </c>
      <c r="O9" s="4">
        <f t="shared" si="1"/>
        <v>97.65</v>
      </c>
      <c r="P9" s="4">
        <f t="shared" si="2"/>
        <v>0.929999999999993</v>
      </c>
      <c r="Q9" s="4">
        <f t="shared" si="3"/>
        <v>0</v>
      </c>
      <c r="R9" s="4">
        <f t="shared" si="4"/>
        <v>0.129032258064507</v>
      </c>
      <c r="S9" s="4">
        <f t="shared" si="5"/>
        <v>0.419354838709681</v>
      </c>
      <c r="T9" s="4">
        <f t="shared" si="6"/>
        <v>0.559139784946237</v>
      </c>
      <c r="U9" s="4">
        <f t="shared" si="7"/>
        <v>0.67741935483871</v>
      </c>
      <c r="V9" s="4">
        <f t="shared" si="8"/>
        <v>0.731182795698923</v>
      </c>
      <c r="W9" s="4">
        <f t="shared" si="9"/>
        <v>0.67741935483871</v>
      </c>
      <c r="X9" s="4">
        <f t="shared" si="10"/>
        <v>1</v>
      </c>
      <c r="Y9" s="4">
        <f t="shared" si="11"/>
        <v>0.913978494623657</v>
      </c>
      <c r="Z9" s="4">
        <f t="shared" si="12"/>
        <v>0.752688172043005</v>
      </c>
    </row>
    <row r="10" ht="15.75" spans="1:26">
      <c r="A10" s="220" t="s">
        <v>15</v>
      </c>
      <c r="B10" s="4">
        <v>32.52</v>
      </c>
      <c r="C10" s="4">
        <v>32.97</v>
      </c>
      <c r="D10" s="4">
        <v>33.73</v>
      </c>
      <c r="E10" s="4">
        <v>34.4</v>
      </c>
      <c r="F10" s="4">
        <v>35.32</v>
      </c>
      <c r="G10" s="4">
        <v>35.47</v>
      </c>
      <c r="H10" s="4">
        <v>36.18</v>
      </c>
      <c r="I10" s="4">
        <v>36.67</v>
      </c>
      <c r="J10" s="4">
        <v>39.43</v>
      </c>
      <c r="K10" s="4">
        <v>39.94</v>
      </c>
      <c r="L10" s="222">
        <v>40.3731779496927</v>
      </c>
      <c r="M10" s="223" t="s">
        <v>6</v>
      </c>
      <c r="N10" s="4">
        <f t="shared" si="0"/>
        <v>39.94</v>
      </c>
      <c r="O10" s="4">
        <f t="shared" si="1"/>
        <v>32.52</v>
      </c>
      <c r="P10" s="4">
        <f t="shared" si="2"/>
        <v>7.41999999999999</v>
      </c>
      <c r="Q10" s="4">
        <f t="shared" si="3"/>
        <v>0</v>
      </c>
      <c r="R10" s="4">
        <f t="shared" si="4"/>
        <v>0.0606469002695412</v>
      </c>
      <c r="S10" s="4">
        <f t="shared" si="5"/>
        <v>0.163072776280323</v>
      </c>
      <c r="T10" s="4">
        <f t="shared" si="6"/>
        <v>0.253369272237196</v>
      </c>
      <c r="U10" s="4">
        <f t="shared" si="7"/>
        <v>0.377358490566038</v>
      </c>
      <c r="V10" s="4">
        <f t="shared" si="8"/>
        <v>0.397574123989218</v>
      </c>
      <c r="W10" s="4">
        <f t="shared" si="9"/>
        <v>0.493261455525606</v>
      </c>
      <c r="X10" s="4">
        <f t="shared" si="10"/>
        <v>0.559299191374663</v>
      </c>
      <c r="Y10" s="4">
        <f t="shared" si="11"/>
        <v>0.931266846361186</v>
      </c>
      <c r="Z10" s="4">
        <f t="shared" si="12"/>
        <v>1</v>
      </c>
    </row>
    <row r="11" ht="15.75" spans="1:26">
      <c r="A11" s="220" t="s">
        <v>16</v>
      </c>
      <c r="B11" s="4">
        <v>16.68</v>
      </c>
      <c r="C11" s="4">
        <v>17.36</v>
      </c>
      <c r="D11" s="4">
        <v>17.9</v>
      </c>
      <c r="E11" s="4">
        <v>18.49</v>
      </c>
      <c r="F11" s="4">
        <v>19.24</v>
      </c>
      <c r="G11" s="4">
        <v>20.01</v>
      </c>
      <c r="H11" s="4">
        <v>20.51</v>
      </c>
      <c r="I11" s="4">
        <v>20.68</v>
      </c>
      <c r="J11" s="4">
        <v>20.97</v>
      </c>
      <c r="K11" s="4">
        <v>21.21</v>
      </c>
      <c r="L11" s="222">
        <v>21.97</v>
      </c>
      <c r="M11" s="223" t="s">
        <v>6</v>
      </c>
      <c r="N11" s="4">
        <f t="shared" si="0"/>
        <v>21.21</v>
      </c>
      <c r="O11" s="4">
        <f t="shared" si="1"/>
        <v>16.68</v>
      </c>
      <c r="P11" s="4">
        <f t="shared" si="2"/>
        <v>4.53</v>
      </c>
      <c r="Q11" s="4">
        <f t="shared" si="3"/>
        <v>0</v>
      </c>
      <c r="R11" s="4">
        <f t="shared" si="4"/>
        <v>0.150110375275938</v>
      </c>
      <c r="S11" s="4">
        <f t="shared" si="5"/>
        <v>0.269315673289183</v>
      </c>
      <c r="T11" s="4">
        <f t="shared" si="6"/>
        <v>0.399558498896247</v>
      </c>
      <c r="U11" s="4">
        <f t="shared" si="7"/>
        <v>0.565121412803532</v>
      </c>
      <c r="V11" s="4">
        <f t="shared" si="8"/>
        <v>0.735099337748345</v>
      </c>
      <c r="W11" s="4">
        <f t="shared" si="9"/>
        <v>0.845474613686534</v>
      </c>
      <c r="X11" s="4">
        <f t="shared" si="10"/>
        <v>0.883002207505518</v>
      </c>
      <c r="Y11" s="4">
        <f t="shared" si="11"/>
        <v>0.947019867549668</v>
      </c>
      <c r="Z11" s="4">
        <f t="shared" si="12"/>
        <v>1</v>
      </c>
    </row>
    <row r="12" spans="1:26">
      <c r="A12" s="218"/>
      <c r="M12" s="40"/>
      <c r="W12" s="4"/>
      <c r="X12" s="4"/>
      <c r="Y12" s="4"/>
      <c r="Z12" s="4"/>
    </row>
    <row r="13" spans="1:26">
      <c r="A13" s="218" t="s">
        <v>17</v>
      </c>
      <c r="B13" s="4">
        <v>0.58</v>
      </c>
      <c r="C13" s="4">
        <v>0.51</v>
      </c>
      <c r="D13" s="4">
        <v>0.44</v>
      </c>
      <c r="E13" s="4">
        <v>0.4</v>
      </c>
      <c r="F13" s="4">
        <v>0.33</v>
      </c>
      <c r="G13" s="4">
        <v>0.31</v>
      </c>
      <c r="H13" s="4">
        <v>0.27</v>
      </c>
      <c r="I13" s="4">
        <v>0.24</v>
      </c>
      <c r="J13" s="4">
        <v>0.2</v>
      </c>
      <c r="K13" s="4">
        <v>0.18</v>
      </c>
      <c r="L13" s="222">
        <v>1.2</v>
      </c>
      <c r="M13" s="223" t="s">
        <v>6</v>
      </c>
      <c r="N13" s="4">
        <f t="shared" ref="N12:N24" si="13">MAX(B13:K13)</f>
        <v>0.58</v>
      </c>
      <c r="O13" s="4">
        <f t="shared" si="1"/>
        <v>0.18</v>
      </c>
      <c r="P13" s="4">
        <f t="shared" si="2"/>
        <v>0.4</v>
      </c>
      <c r="Q13" s="4">
        <f t="shared" si="3"/>
        <v>1</v>
      </c>
      <c r="R13" s="4">
        <f t="shared" si="4"/>
        <v>0.825</v>
      </c>
      <c r="S13" s="4">
        <f t="shared" ref="S12:S24" si="14">(D13-O13)/P13</f>
        <v>0.65</v>
      </c>
      <c r="T13" s="4">
        <f t="shared" si="6"/>
        <v>0.55</v>
      </c>
      <c r="U13" s="4">
        <f t="shared" si="7"/>
        <v>0.375</v>
      </c>
      <c r="V13" s="4">
        <f t="shared" si="8"/>
        <v>0.325</v>
      </c>
      <c r="W13" s="4">
        <f t="shared" si="9"/>
        <v>0.225</v>
      </c>
      <c r="X13" s="4">
        <f t="shared" si="10"/>
        <v>0.15</v>
      </c>
      <c r="Y13" s="4">
        <f t="shared" si="11"/>
        <v>0.0500000000000001</v>
      </c>
      <c r="Z13" s="4">
        <f t="shared" si="12"/>
        <v>0</v>
      </c>
    </row>
    <row r="14" ht="15.75" spans="1:26">
      <c r="A14" s="220" t="s">
        <v>18</v>
      </c>
      <c r="B14" s="4">
        <v>29.85</v>
      </c>
      <c r="C14" s="4">
        <v>29.54</v>
      </c>
      <c r="D14" s="4">
        <v>29.01</v>
      </c>
      <c r="E14" s="4">
        <v>28.4</v>
      </c>
      <c r="F14" s="4">
        <v>27.78</v>
      </c>
      <c r="G14" s="4">
        <v>27.49</v>
      </c>
      <c r="H14" s="4">
        <v>27.13</v>
      </c>
      <c r="I14" s="4">
        <v>26.98</v>
      </c>
      <c r="J14" s="4">
        <v>26.62</v>
      </c>
      <c r="K14" s="4">
        <v>26.59</v>
      </c>
      <c r="L14" s="222">
        <v>25.62</v>
      </c>
      <c r="M14" s="223" t="s">
        <v>6</v>
      </c>
      <c r="N14" s="4">
        <f t="shared" si="13"/>
        <v>29.85</v>
      </c>
      <c r="O14" s="4">
        <f t="shared" si="1"/>
        <v>26.59</v>
      </c>
      <c r="P14" s="4">
        <f t="shared" si="2"/>
        <v>3.26</v>
      </c>
      <c r="Q14" s="4">
        <f t="shared" si="3"/>
        <v>1</v>
      </c>
      <c r="R14" s="4">
        <f t="shared" si="4"/>
        <v>0.904907975460122</v>
      </c>
      <c r="S14" s="4">
        <f t="shared" si="14"/>
        <v>0.742331288343558</v>
      </c>
      <c r="T14" s="4">
        <f t="shared" si="6"/>
        <v>0.55521472392638</v>
      </c>
      <c r="U14" s="4">
        <f t="shared" si="7"/>
        <v>0.365030674846626</v>
      </c>
      <c r="V14" s="4">
        <f t="shared" si="8"/>
        <v>0.276073619631901</v>
      </c>
      <c r="W14" s="4">
        <f t="shared" si="9"/>
        <v>0.165644171779141</v>
      </c>
      <c r="X14" s="4">
        <f t="shared" si="10"/>
        <v>0.119631901840491</v>
      </c>
      <c r="Y14" s="4">
        <f t="shared" si="11"/>
        <v>0.00920245398773041</v>
      </c>
      <c r="Z14" s="4">
        <f t="shared" si="12"/>
        <v>0</v>
      </c>
    </row>
    <row r="15" spans="1:26">
      <c r="A15" s="218" t="s">
        <v>19</v>
      </c>
      <c r="B15" s="4">
        <v>0.0783</v>
      </c>
      <c r="C15" s="4">
        <v>0.0792</v>
      </c>
      <c r="D15" s="4">
        <v>0.0781</v>
      </c>
      <c r="E15" s="4">
        <v>0.0759</v>
      </c>
      <c r="F15" s="4">
        <v>0.0754</v>
      </c>
      <c r="G15" s="4">
        <v>0.0747</v>
      </c>
      <c r="H15" s="4">
        <v>0.0753</v>
      </c>
      <c r="I15" s="4">
        <v>0.0735</v>
      </c>
      <c r="J15" s="4">
        <v>0.0679</v>
      </c>
      <c r="K15" s="4">
        <v>0.0617</v>
      </c>
      <c r="L15" s="222">
        <v>1.06789999999993</v>
      </c>
      <c r="M15" s="223" t="s">
        <v>6</v>
      </c>
      <c r="N15" s="4">
        <f t="shared" si="13"/>
        <v>0.0792</v>
      </c>
      <c r="O15" s="4">
        <f t="shared" si="1"/>
        <v>0.0617</v>
      </c>
      <c r="P15" s="4">
        <f t="shared" si="2"/>
        <v>0.0175</v>
      </c>
      <c r="Q15" s="4">
        <f t="shared" si="3"/>
        <v>0.948571428571428</v>
      </c>
      <c r="R15" s="4">
        <f t="shared" si="4"/>
        <v>1</v>
      </c>
      <c r="S15" s="4">
        <f t="shared" si="14"/>
        <v>0.937142857142857</v>
      </c>
      <c r="T15" s="4">
        <f t="shared" si="6"/>
        <v>0.811428571428571</v>
      </c>
      <c r="U15" s="4">
        <f t="shared" si="7"/>
        <v>0.782857142857142</v>
      </c>
      <c r="V15" s="4">
        <f t="shared" si="8"/>
        <v>0.742857142857143</v>
      </c>
      <c r="W15" s="4">
        <f t="shared" si="9"/>
        <v>0.777142857142857</v>
      </c>
      <c r="X15" s="4">
        <f t="shared" si="10"/>
        <v>0.674285714285714</v>
      </c>
      <c r="Y15" s="4">
        <f t="shared" si="11"/>
        <v>0.354285714285714</v>
      </c>
      <c r="Z15" s="4">
        <f t="shared" si="12"/>
        <v>0</v>
      </c>
    </row>
    <row r="16" spans="1:26">
      <c r="A16" s="218" t="s">
        <v>20</v>
      </c>
      <c r="B16" s="4">
        <v>57.02</v>
      </c>
      <c r="C16" s="4">
        <v>57.94</v>
      </c>
      <c r="D16" s="4">
        <v>47.74</v>
      </c>
      <c r="E16" s="4">
        <v>48.2</v>
      </c>
      <c r="F16" s="4">
        <v>49.7</v>
      </c>
      <c r="G16" s="4">
        <v>46.87</v>
      </c>
      <c r="H16" s="4">
        <v>45.77</v>
      </c>
      <c r="I16" s="4">
        <v>46.37</v>
      </c>
      <c r="J16" s="4">
        <v>47.01</v>
      </c>
      <c r="K16" s="4">
        <v>47.06</v>
      </c>
      <c r="L16" s="222">
        <v>48.0099999999948</v>
      </c>
      <c r="M16" s="223" t="s">
        <v>6</v>
      </c>
      <c r="N16" s="4">
        <f t="shared" si="13"/>
        <v>57.94</v>
      </c>
      <c r="O16" s="4">
        <f t="shared" si="1"/>
        <v>45.77</v>
      </c>
      <c r="P16" s="4">
        <f t="shared" si="2"/>
        <v>12.17</v>
      </c>
      <c r="Q16" s="4">
        <f t="shared" si="3"/>
        <v>0.924404272801972</v>
      </c>
      <c r="R16" s="4">
        <f t="shared" si="4"/>
        <v>1</v>
      </c>
      <c r="S16" s="4">
        <f t="shared" si="14"/>
        <v>0.161873459326212</v>
      </c>
      <c r="T16" s="4">
        <f t="shared" si="6"/>
        <v>0.199671322925226</v>
      </c>
      <c r="U16" s="4">
        <f t="shared" si="7"/>
        <v>0.322925225965489</v>
      </c>
      <c r="V16" s="4">
        <f t="shared" si="8"/>
        <v>0.0903861955628591</v>
      </c>
      <c r="W16" s="4">
        <f t="shared" si="9"/>
        <v>0</v>
      </c>
      <c r="X16" s="4">
        <f t="shared" si="10"/>
        <v>0.0493015612161047</v>
      </c>
      <c r="Y16" s="4">
        <f t="shared" si="11"/>
        <v>0.10188989317995</v>
      </c>
      <c r="Z16" s="4">
        <f t="shared" si="12"/>
        <v>0.105998356614626</v>
      </c>
    </row>
    <row r="17" spans="1:26">
      <c r="A17" s="218" t="s">
        <v>21</v>
      </c>
      <c r="B17" s="4">
        <v>18.06</v>
      </c>
      <c r="C17" s="4">
        <v>19.02</v>
      </c>
      <c r="D17" s="4">
        <v>18.48</v>
      </c>
      <c r="E17" s="4">
        <v>24.48</v>
      </c>
      <c r="F17" s="4">
        <v>25.15</v>
      </c>
      <c r="G17" s="4">
        <v>27.3</v>
      </c>
      <c r="H17" s="4">
        <v>25.28</v>
      </c>
      <c r="I17" s="4">
        <v>14.34</v>
      </c>
      <c r="J17" s="4">
        <v>18.24</v>
      </c>
      <c r="K17" s="4">
        <v>18.28</v>
      </c>
      <c r="L17" s="222">
        <v>17.24</v>
      </c>
      <c r="M17" s="223" t="s">
        <v>6</v>
      </c>
      <c r="N17" s="4">
        <f t="shared" si="13"/>
        <v>27.3</v>
      </c>
      <c r="O17" s="4">
        <f t="shared" si="1"/>
        <v>14.34</v>
      </c>
      <c r="P17" s="4">
        <f t="shared" si="2"/>
        <v>12.96</v>
      </c>
      <c r="Q17" s="4">
        <f t="shared" si="3"/>
        <v>0.287037037037037</v>
      </c>
      <c r="R17" s="4">
        <f t="shared" si="4"/>
        <v>0.361111111111111</v>
      </c>
      <c r="S17" s="4">
        <f t="shared" si="14"/>
        <v>0.319444444444444</v>
      </c>
      <c r="T17" s="4">
        <f t="shared" si="6"/>
        <v>0.782407407407407</v>
      </c>
      <c r="U17" s="4">
        <f t="shared" si="7"/>
        <v>0.834104938271605</v>
      </c>
      <c r="V17" s="4">
        <f t="shared" si="8"/>
        <v>1</v>
      </c>
      <c r="W17" s="4">
        <f t="shared" si="9"/>
        <v>0.844135802469136</v>
      </c>
      <c r="X17" s="4">
        <f t="shared" si="10"/>
        <v>0</v>
      </c>
      <c r="Y17" s="4">
        <f t="shared" si="11"/>
        <v>0.300925925925926</v>
      </c>
      <c r="Z17" s="4">
        <f t="shared" si="12"/>
        <v>0.304012345679012</v>
      </c>
    </row>
    <row r="18" spans="1:26">
      <c r="A18" s="218" t="s">
        <v>22</v>
      </c>
      <c r="B18" s="4">
        <v>90.13</v>
      </c>
      <c r="C18" s="4">
        <v>95.7</v>
      </c>
      <c r="D18" s="4">
        <v>96.3</v>
      </c>
      <c r="E18" s="4">
        <v>96.36</v>
      </c>
      <c r="F18" s="4">
        <v>96.4</v>
      </c>
      <c r="G18" s="4">
        <v>96.62</v>
      </c>
      <c r="H18" s="4">
        <v>97.18</v>
      </c>
      <c r="I18" s="4">
        <v>98.12</v>
      </c>
      <c r="J18" s="4">
        <v>99.2</v>
      </c>
      <c r="K18" s="4">
        <v>99.66</v>
      </c>
      <c r="L18" s="222">
        <v>100.2</v>
      </c>
      <c r="M18" s="223" t="s">
        <v>6</v>
      </c>
      <c r="N18" s="4">
        <f t="shared" si="13"/>
        <v>99.66</v>
      </c>
      <c r="O18" s="4">
        <f t="shared" si="1"/>
        <v>90.13</v>
      </c>
      <c r="P18" s="4">
        <f t="shared" si="2"/>
        <v>9.53</v>
      </c>
      <c r="Q18" s="4">
        <f t="shared" si="3"/>
        <v>0</v>
      </c>
      <c r="R18" s="4">
        <f t="shared" si="4"/>
        <v>0.584470094438616</v>
      </c>
      <c r="S18" s="4">
        <f t="shared" si="14"/>
        <v>0.647429171038825</v>
      </c>
      <c r="T18" s="4">
        <f t="shared" si="6"/>
        <v>0.653725078698846</v>
      </c>
      <c r="U18" s="4">
        <f t="shared" si="7"/>
        <v>0.657922350472194</v>
      </c>
      <c r="V18" s="4">
        <f t="shared" si="8"/>
        <v>0.681007345225604</v>
      </c>
      <c r="W18" s="4">
        <f t="shared" si="9"/>
        <v>0.739769150052467</v>
      </c>
      <c r="X18" s="4">
        <f t="shared" si="10"/>
        <v>0.838405036726129</v>
      </c>
      <c r="Y18" s="4">
        <f t="shared" si="11"/>
        <v>0.951731374606506</v>
      </c>
      <c r="Z18" s="4">
        <f t="shared" si="12"/>
        <v>1</v>
      </c>
    </row>
    <row r="19" spans="1:26">
      <c r="A19" s="218" t="s">
        <v>23</v>
      </c>
      <c r="B19" s="4">
        <v>4936</v>
      </c>
      <c r="C19" s="4">
        <v>5934</v>
      </c>
      <c r="D19" s="4">
        <v>4379</v>
      </c>
      <c r="E19" s="4">
        <v>4382</v>
      </c>
      <c r="F19" s="4">
        <v>4297</v>
      </c>
      <c r="G19" s="4">
        <v>4127</v>
      </c>
      <c r="H19" s="4">
        <v>3765</v>
      </c>
      <c r="I19" s="4">
        <v>3794</v>
      </c>
      <c r="J19" s="4">
        <v>4084</v>
      </c>
      <c r="K19" s="4">
        <v>4672</v>
      </c>
      <c r="L19" s="222">
        <v>4083</v>
      </c>
      <c r="M19" s="40" t="s">
        <v>9</v>
      </c>
      <c r="N19" s="4">
        <f t="shared" si="13"/>
        <v>5934</v>
      </c>
      <c r="O19" s="4">
        <f t="shared" si="1"/>
        <v>3765</v>
      </c>
      <c r="P19" s="4">
        <f t="shared" si="2"/>
        <v>2169</v>
      </c>
      <c r="Q19" s="4">
        <f>(N19-B19)/P19</f>
        <v>0.460119870908253</v>
      </c>
      <c r="R19" s="4">
        <f>(N19-C19)/P19</f>
        <v>0</v>
      </c>
      <c r="S19" s="4">
        <f>(N19-D19)/P19</f>
        <v>0.716920239741817</v>
      </c>
      <c r="T19" s="4">
        <f>(N19-E19)/P19</f>
        <v>0.715537113877363</v>
      </c>
      <c r="U19" s="4">
        <f>(N19-F19)/P19</f>
        <v>0.754725680036883</v>
      </c>
      <c r="V19" s="4">
        <f>(N19-G19)/P19</f>
        <v>0.833102812355924</v>
      </c>
      <c r="W19" s="4">
        <f>(N19-H19)/P19</f>
        <v>1</v>
      </c>
      <c r="X19" s="4">
        <f>(N19-I19)/P19</f>
        <v>0.986629783310281</v>
      </c>
      <c r="Y19" s="4">
        <f>(N19-J19)/P19</f>
        <v>0.852927616413094</v>
      </c>
      <c r="Z19" s="4">
        <f>(N19-K19)/P19</f>
        <v>0.581834946980175</v>
      </c>
    </row>
    <row r="20" spans="1:26">
      <c r="A20" s="218" t="s">
        <v>24</v>
      </c>
      <c r="B20" s="4">
        <v>20681</v>
      </c>
      <c r="C20" s="4">
        <v>21946</v>
      </c>
      <c r="D20" s="4">
        <v>3734</v>
      </c>
      <c r="E20" s="4">
        <v>3963</v>
      </c>
      <c r="F20" s="4">
        <v>4266</v>
      </c>
      <c r="G20" s="4">
        <v>3191</v>
      </c>
      <c r="H20" s="4">
        <v>2434</v>
      </c>
      <c r="I20" s="4">
        <v>2121</v>
      </c>
      <c r="J20" s="4">
        <v>2062</v>
      </c>
      <c r="K20" s="4">
        <v>2005</v>
      </c>
      <c r="L20" s="222">
        <v>2061</v>
      </c>
      <c r="M20" s="40" t="s">
        <v>9</v>
      </c>
      <c r="N20" s="4">
        <f t="shared" si="13"/>
        <v>21946</v>
      </c>
      <c r="O20" s="4">
        <f t="shared" si="1"/>
        <v>2005</v>
      </c>
      <c r="P20" s="4">
        <f t="shared" si="2"/>
        <v>19941</v>
      </c>
      <c r="Q20" s="4">
        <f>(N20-B20)/P20</f>
        <v>0.063437139561707</v>
      </c>
      <c r="R20" s="4">
        <f>(N20-C20)/P20</f>
        <v>0</v>
      </c>
      <c r="S20" s="4">
        <f>(N20-D20)/P20</f>
        <v>0.913294217942932</v>
      </c>
      <c r="T20" s="4">
        <f>(N20-E20)/P20</f>
        <v>0.901810340504488</v>
      </c>
      <c r="U20" s="4">
        <f>(N20-F20)/P20</f>
        <v>0.886615515771526</v>
      </c>
      <c r="V20" s="4">
        <f>(N20-G20)/P20</f>
        <v>0.940524547414874</v>
      </c>
      <c r="W20" s="4">
        <f>(N20-H20)/P20</f>
        <v>0.978486535279073</v>
      </c>
      <c r="X20" s="4">
        <f>(N20-I20)/P20</f>
        <v>0.99418283937616</v>
      </c>
      <c r="Y20" s="4">
        <f>(N20-J20)/P20</f>
        <v>0.997141567624492</v>
      </c>
      <c r="Z20" s="4">
        <f>(N20-K20)/P20</f>
        <v>1</v>
      </c>
    </row>
    <row r="21" ht="15.75" spans="1:26">
      <c r="A21" s="220" t="s">
        <v>25</v>
      </c>
      <c r="B21" s="4">
        <v>99.04</v>
      </c>
      <c r="C21" s="4">
        <v>98.92</v>
      </c>
      <c r="D21" s="4">
        <v>98.63</v>
      </c>
      <c r="E21" s="4">
        <v>98.17</v>
      </c>
      <c r="F21" s="4">
        <v>97.91</v>
      </c>
      <c r="G21" s="4">
        <v>97.67</v>
      </c>
      <c r="H21" s="4">
        <v>97.68</v>
      </c>
      <c r="I21" s="4">
        <v>97.83</v>
      </c>
      <c r="J21" s="4">
        <v>99.58</v>
      </c>
      <c r="K21" s="4">
        <v>100</v>
      </c>
      <c r="L21" s="222">
        <v>100.58</v>
      </c>
      <c r="M21" s="223" t="s">
        <v>6</v>
      </c>
      <c r="N21" s="4">
        <f t="shared" si="13"/>
        <v>100</v>
      </c>
      <c r="O21" s="4">
        <f t="shared" si="1"/>
        <v>97.67</v>
      </c>
      <c r="P21" s="4">
        <f t="shared" si="2"/>
        <v>2.33</v>
      </c>
      <c r="Q21" s="4">
        <f t="shared" si="3"/>
        <v>0.587982832618028</v>
      </c>
      <c r="R21" s="4">
        <f t="shared" si="4"/>
        <v>0.536480686695279</v>
      </c>
      <c r="S21" s="4">
        <f t="shared" si="14"/>
        <v>0.412017167381972</v>
      </c>
      <c r="T21" s="4">
        <f t="shared" si="6"/>
        <v>0.214592274678112</v>
      </c>
      <c r="U21" s="4">
        <f t="shared" si="7"/>
        <v>0.103004291845491</v>
      </c>
      <c r="V21" s="4">
        <f t="shared" si="8"/>
        <v>0</v>
      </c>
      <c r="W21" s="4">
        <f t="shared" si="9"/>
        <v>0.00429184549356443</v>
      </c>
      <c r="X21" s="4">
        <f t="shared" si="10"/>
        <v>0.0686695278969943</v>
      </c>
      <c r="Y21" s="4">
        <f t="shared" si="11"/>
        <v>0.819742489270385</v>
      </c>
      <c r="Z21" s="4">
        <f t="shared" si="12"/>
        <v>1</v>
      </c>
    </row>
    <row r="22" ht="15.75" spans="1:26">
      <c r="A22" s="220" t="s">
        <v>26</v>
      </c>
      <c r="B22" s="4">
        <v>100</v>
      </c>
      <c r="C22" s="4">
        <v>98.75</v>
      </c>
      <c r="D22" s="4">
        <v>97.33</v>
      </c>
      <c r="E22" s="4">
        <v>95.89</v>
      </c>
      <c r="F22" s="4">
        <v>94.06</v>
      </c>
      <c r="G22" s="4">
        <v>92.95</v>
      </c>
      <c r="H22" s="4">
        <v>91.66</v>
      </c>
      <c r="I22" s="4">
        <v>91.02</v>
      </c>
      <c r="J22" s="4">
        <v>88.28</v>
      </c>
      <c r="K22" s="4">
        <v>87.59</v>
      </c>
      <c r="L22" s="222">
        <v>87.28</v>
      </c>
      <c r="M22" s="223" t="s">
        <v>6</v>
      </c>
      <c r="N22" s="4">
        <f t="shared" si="13"/>
        <v>100</v>
      </c>
      <c r="O22" s="4">
        <f t="shared" si="1"/>
        <v>87.59</v>
      </c>
      <c r="P22" s="4">
        <f t="shared" si="2"/>
        <v>12.41</v>
      </c>
      <c r="Q22" s="4">
        <f t="shared" si="3"/>
        <v>1</v>
      </c>
      <c r="R22" s="4">
        <f t="shared" si="4"/>
        <v>0.899274778404512</v>
      </c>
      <c r="S22" s="4">
        <f t="shared" si="14"/>
        <v>0.784850926672038</v>
      </c>
      <c r="T22" s="4">
        <f t="shared" si="6"/>
        <v>0.668815471394037</v>
      </c>
      <c r="U22" s="4">
        <f t="shared" si="7"/>
        <v>0.521353746978243</v>
      </c>
      <c r="V22" s="4">
        <f t="shared" si="8"/>
        <v>0.431909750201451</v>
      </c>
      <c r="W22" s="4">
        <f t="shared" si="9"/>
        <v>0.327961321514907</v>
      </c>
      <c r="X22" s="4">
        <f t="shared" si="10"/>
        <v>0.276390008058017</v>
      </c>
      <c r="Y22" s="4">
        <f t="shared" si="11"/>
        <v>0.0556003223207089</v>
      </c>
      <c r="Z22" s="4">
        <f t="shared" si="12"/>
        <v>0</v>
      </c>
    </row>
    <row r="23" spans="1:26">
      <c r="A23" s="221" t="s">
        <v>27</v>
      </c>
      <c r="B23" s="218">
        <v>0.5272</v>
      </c>
      <c r="C23" s="218">
        <v>0.4929</v>
      </c>
      <c r="D23" s="218">
        <v>0.5363</v>
      </c>
      <c r="E23" s="218">
        <v>0.5193</v>
      </c>
      <c r="F23" s="218">
        <v>0.4749</v>
      </c>
      <c r="G23" s="218">
        <v>0.5037</v>
      </c>
      <c r="H23" s="218">
        <v>0.5052</v>
      </c>
      <c r="I23" s="218">
        <v>0.486</v>
      </c>
      <c r="J23" s="218">
        <v>0.4974</v>
      </c>
      <c r="K23" s="218">
        <v>0.5327</v>
      </c>
      <c r="L23" s="218"/>
      <c r="M23" s="223" t="s">
        <v>6</v>
      </c>
      <c r="N23" s="4">
        <f t="shared" si="13"/>
        <v>0.5363</v>
      </c>
      <c r="O23" s="4">
        <f t="shared" si="1"/>
        <v>0.4749</v>
      </c>
      <c r="P23" s="4">
        <f t="shared" si="2"/>
        <v>0.0614</v>
      </c>
      <c r="Q23" s="4">
        <f t="shared" si="3"/>
        <v>0.851791530944625</v>
      </c>
      <c r="R23" s="4">
        <f t="shared" si="4"/>
        <v>0.293159609120521</v>
      </c>
      <c r="S23" s="4">
        <f t="shared" si="14"/>
        <v>1</v>
      </c>
      <c r="T23" s="4">
        <f t="shared" si="6"/>
        <v>0.723127035830619</v>
      </c>
      <c r="U23" s="4">
        <f t="shared" si="7"/>
        <v>0</v>
      </c>
      <c r="V23" s="4">
        <f t="shared" si="8"/>
        <v>0.469055374592835</v>
      </c>
      <c r="W23" s="4">
        <f t="shared" si="9"/>
        <v>0.493485342019544</v>
      </c>
      <c r="X23" s="4">
        <f t="shared" si="10"/>
        <v>0.180781758957655</v>
      </c>
      <c r="Y23" s="4">
        <f t="shared" si="11"/>
        <v>0.366449511400652</v>
      </c>
      <c r="Z23" s="4">
        <f t="shared" si="12"/>
        <v>0.941368078175895</v>
      </c>
    </row>
    <row r="24" spans="1:26">
      <c r="A24" s="221" t="s">
        <v>28</v>
      </c>
      <c r="B24" s="218">
        <v>0.804</v>
      </c>
      <c r="C24" s="218">
        <v>0.7996</v>
      </c>
      <c r="D24" s="218">
        <v>0.8376</v>
      </c>
      <c r="E24" s="218">
        <v>0.8312</v>
      </c>
      <c r="F24" s="218">
        <v>0.7968</v>
      </c>
      <c r="G24" s="218">
        <v>0.7607</v>
      </c>
      <c r="H24" s="218">
        <v>0.8103</v>
      </c>
      <c r="I24" s="218">
        <v>0.8987</v>
      </c>
      <c r="J24" s="218">
        <v>0.837</v>
      </c>
      <c r="K24" s="218">
        <v>0.7846</v>
      </c>
      <c r="L24" s="218"/>
      <c r="M24" s="223" t="s">
        <v>6</v>
      </c>
      <c r="N24" s="4">
        <f t="shared" si="13"/>
        <v>0.8987</v>
      </c>
      <c r="O24" s="4">
        <f t="shared" si="1"/>
        <v>0.7607</v>
      </c>
      <c r="P24" s="4">
        <f t="shared" si="2"/>
        <v>0.138</v>
      </c>
      <c r="Q24" s="4">
        <f t="shared" si="3"/>
        <v>0.313768115942029</v>
      </c>
      <c r="R24" s="4">
        <f t="shared" si="4"/>
        <v>0.281884057971014</v>
      </c>
      <c r="S24" s="4">
        <f t="shared" si="14"/>
        <v>0.557246376811594</v>
      </c>
      <c r="T24" s="4">
        <f t="shared" si="6"/>
        <v>0.510869565217391</v>
      </c>
      <c r="U24" s="4">
        <f t="shared" si="7"/>
        <v>0.26159420289855</v>
      </c>
      <c r="V24" s="4">
        <f t="shared" si="8"/>
        <v>0</v>
      </c>
      <c r="W24" s="4">
        <f t="shared" si="9"/>
        <v>0.359420289855072</v>
      </c>
      <c r="X24" s="4">
        <f t="shared" si="10"/>
        <v>1</v>
      </c>
      <c r="Y24" s="4">
        <f t="shared" si="11"/>
        <v>0.552898550724637</v>
      </c>
      <c r="Z24" s="4">
        <f t="shared" si="12"/>
        <v>0.173188405797101</v>
      </c>
    </row>
    <row r="26" spans="1:26">
      <c r="Q26" s="4">
        <v>2014</v>
      </c>
      <c r="R26" s="4">
        <v>2015</v>
      </c>
      <c r="S26" s="4">
        <v>2016</v>
      </c>
      <c r="T26" s="4">
        <v>2017</v>
      </c>
      <c r="U26" s="4">
        <v>2018</v>
      </c>
      <c r="V26" s="4">
        <v>2019</v>
      </c>
      <c r="W26" s="4">
        <v>2020</v>
      </c>
      <c r="X26" s="4">
        <v>2021</v>
      </c>
      <c r="Y26" s="4">
        <v>2022</v>
      </c>
      <c r="Z26" s="4">
        <v>2023</v>
      </c>
    </row>
    <row r="27" spans="1:26">
      <c r="Q27" s="4">
        <f>ROUND(Q2,4)+0.0001</f>
        <v>0.0001</v>
      </c>
      <c r="R27" s="4">
        <f t="shared" ref="R27:Z27" si="15">ROUND(R2,4)+0.0001</f>
        <v>0.067</v>
      </c>
      <c r="S27" s="4">
        <f t="shared" si="15"/>
        <v>0.1519</v>
      </c>
      <c r="T27" s="4">
        <f t="shared" si="15"/>
        <v>0.3416</v>
      </c>
      <c r="U27" s="4">
        <f t="shared" si="15"/>
        <v>0.4429</v>
      </c>
      <c r="V27" s="4">
        <f t="shared" si="15"/>
        <v>0.6632</v>
      </c>
      <c r="W27" s="4">
        <f t="shared" si="15"/>
        <v>0.6827</v>
      </c>
      <c r="X27" s="4">
        <f t="shared" si="15"/>
        <v>0.8517</v>
      </c>
      <c r="Y27" s="4">
        <f t="shared" si="15"/>
        <v>0.9206</v>
      </c>
      <c r="Z27" s="4">
        <f t="shared" si="15"/>
        <v>1.0001</v>
      </c>
    </row>
    <row r="28" spans="1:26">
      <c r="Q28" s="4">
        <f t="shared" ref="Q28:Q43" si="16">ROUND(Q3,4)+0.0001</f>
        <v>0.0001</v>
      </c>
      <c r="R28" s="4">
        <f t="shared" ref="R28:Z28" si="17">ROUND(R3,4)+0.0001</f>
        <v>0.0477</v>
      </c>
      <c r="S28" s="4">
        <f t="shared" si="17"/>
        <v>0.143</v>
      </c>
      <c r="T28" s="4">
        <f t="shared" si="17"/>
        <v>0.3334</v>
      </c>
      <c r="U28" s="4">
        <f t="shared" si="17"/>
        <v>0.5398</v>
      </c>
      <c r="V28" s="4">
        <f t="shared" si="17"/>
        <v>0.7461</v>
      </c>
      <c r="W28" s="4">
        <f t="shared" si="17"/>
        <v>0.9366</v>
      </c>
      <c r="X28" s="4">
        <f t="shared" si="17"/>
        <v>0.9525</v>
      </c>
      <c r="Y28" s="4">
        <f t="shared" si="17"/>
        <v>0.9684</v>
      </c>
      <c r="Z28" s="4">
        <f t="shared" si="17"/>
        <v>1.0001</v>
      </c>
    </row>
    <row r="29" spans="1:26">
      <c r="Q29" s="4">
        <f t="shared" si="16"/>
        <v>0.6461</v>
      </c>
      <c r="R29" s="4">
        <f t="shared" ref="R29:Z29" si="18">ROUND(R4,4)+0.0001</f>
        <v>0.6286</v>
      </c>
      <c r="S29" s="4">
        <f t="shared" si="18"/>
        <v>0.6087</v>
      </c>
      <c r="T29" s="4">
        <f t="shared" si="18"/>
        <v>0.6014</v>
      </c>
      <c r="U29" s="4">
        <f t="shared" si="18"/>
        <v>0.5187</v>
      </c>
      <c r="V29" s="4">
        <f t="shared" si="18"/>
        <v>0.4749</v>
      </c>
      <c r="W29" s="4">
        <f t="shared" si="18"/>
        <v>0.4253</v>
      </c>
      <c r="X29" s="4">
        <f t="shared" si="18"/>
        <v>1.0001</v>
      </c>
      <c r="Y29" s="4">
        <f t="shared" si="18"/>
        <v>0.1152</v>
      </c>
      <c r="Z29" s="4">
        <f t="shared" si="18"/>
        <v>0.0001</v>
      </c>
    </row>
    <row r="30" spans="1:26">
      <c r="Q30" s="4">
        <f t="shared" si="16"/>
        <v>0.0001</v>
      </c>
      <c r="R30" s="4">
        <f t="shared" ref="R30:Z30" si="19">ROUND(R5,4)+0.0001</f>
        <v>0.0663</v>
      </c>
      <c r="S30" s="4">
        <f t="shared" si="19"/>
        <v>0.1545</v>
      </c>
      <c r="T30" s="4">
        <f t="shared" si="19"/>
        <v>0.3383</v>
      </c>
      <c r="U30" s="4">
        <f t="shared" si="19"/>
        <v>0.4413</v>
      </c>
      <c r="V30" s="4">
        <f t="shared" si="19"/>
        <v>0.6619</v>
      </c>
      <c r="W30" s="4">
        <f t="shared" si="19"/>
        <v>0.6839</v>
      </c>
      <c r="X30" s="4">
        <f t="shared" si="19"/>
        <v>0.853</v>
      </c>
      <c r="Y30" s="4">
        <f t="shared" si="19"/>
        <v>0.9192</v>
      </c>
      <c r="Z30" s="4">
        <f t="shared" si="19"/>
        <v>1.0001</v>
      </c>
    </row>
    <row r="31" spans="1:26">
      <c r="Q31" s="4">
        <f t="shared" si="16"/>
        <v>0.3096</v>
      </c>
      <c r="R31" s="4">
        <f t="shared" ref="R31:Z31" si="20">ROUND(R6,4)+0.0001</f>
        <v>0.5194</v>
      </c>
      <c r="S31" s="4">
        <f t="shared" si="20"/>
        <v>0.5864</v>
      </c>
      <c r="T31" s="4">
        <f t="shared" si="20"/>
        <v>0.6047</v>
      </c>
      <c r="U31" s="4">
        <f t="shared" si="20"/>
        <v>0.5933</v>
      </c>
      <c r="V31" s="4">
        <f t="shared" si="20"/>
        <v>0.5667</v>
      </c>
      <c r="W31" s="4">
        <f t="shared" si="20"/>
        <v>0.6318</v>
      </c>
      <c r="X31" s="4">
        <f t="shared" si="20"/>
        <v>0.0001</v>
      </c>
      <c r="Y31" s="4">
        <f t="shared" si="20"/>
        <v>0.8426</v>
      </c>
      <c r="Z31" s="4">
        <f t="shared" si="20"/>
        <v>1.0001</v>
      </c>
    </row>
    <row r="32" spans="1:26">
      <c r="Q32" s="4">
        <f t="shared" si="16"/>
        <v>0.0001</v>
      </c>
      <c r="R32" s="4">
        <f t="shared" ref="R32:Z32" si="21">ROUND(R7,4)+0.0001</f>
        <v>0.1554</v>
      </c>
      <c r="S32" s="4">
        <f t="shared" si="21"/>
        <v>0.2326</v>
      </c>
      <c r="T32" s="4">
        <f t="shared" si="21"/>
        <v>0.4812</v>
      </c>
      <c r="U32" s="4">
        <f t="shared" si="21"/>
        <v>0.6606</v>
      </c>
      <c r="V32" s="4">
        <f t="shared" si="21"/>
        <v>0.7641</v>
      </c>
      <c r="W32" s="4">
        <f t="shared" si="21"/>
        <v>1.0001</v>
      </c>
      <c r="X32" s="4">
        <f t="shared" si="21"/>
        <v>0.9375</v>
      </c>
      <c r="Y32" s="4">
        <f t="shared" si="21"/>
        <v>0.7652</v>
      </c>
      <c r="Z32" s="4">
        <f t="shared" si="21"/>
        <v>0.5282</v>
      </c>
    </row>
    <row r="33" spans="17:26">
      <c r="Q33" s="4">
        <f t="shared" si="16"/>
        <v>0.6791</v>
      </c>
      <c r="R33" s="4">
        <f t="shared" ref="R33:Z33" si="22">ROUND(R8,4)+0.0001</f>
        <v>0.8137</v>
      </c>
      <c r="S33" s="4">
        <f t="shared" si="22"/>
        <v>0.928</v>
      </c>
      <c r="T33" s="4">
        <f t="shared" si="22"/>
        <v>1.0001</v>
      </c>
      <c r="U33" s="4">
        <f t="shared" si="22"/>
        <v>0.9475</v>
      </c>
      <c r="V33" s="4">
        <f t="shared" si="22"/>
        <v>0.6461</v>
      </c>
      <c r="W33" s="4">
        <f t="shared" si="22"/>
        <v>0.4906</v>
      </c>
      <c r="X33" s="4">
        <f t="shared" si="22"/>
        <v>0.0001</v>
      </c>
      <c r="Y33" s="4">
        <f t="shared" si="22"/>
        <v>0.6321</v>
      </c>
      <c r="Z33" s="4">
        <f t="shared" si="22"/>
        <v>0.6634</v>
      </c>
    </row>
    <row r="34" spans="17:26">
      <c r="Q34" s="4">
        <f t="shared" si="16"/>
        <v>0.0001</v>
      </c>
      <c r="R34" s="4">
        <f t="shared" ref="R34:Z34" si="23">ROUND(R9,4)+0.0001</f>
        <v>0.1291</v>
      </c>
      <c r="S34" s="4">
        <f t="shared" si="23"/>
        <v>0.4195</v>
      </c>
      <c r="T34" s="4">
        <f t="shared" si="23"/>
        <v>0.5592</v>
      </c>
      <c r="U34" s="4">
        <f t="shared" si="23"/>
        <v>0.6775</v>
      </c>
      <c r="V34" s="4">
        <f t="shared" si="23"/>
        <v>0.7313</v>
      </c>
      <c r="W34" s="4">
        <f t="shared" si="23"/>
        <v>0.6775</v>
      </c>
      <c r="X34" s="4">
        <f t="shared" si="23"/>
        <v>1.0001</v>
      </c>
      <c r="Y34" s="4">
        <f t="shared" si="23"/>
        <v>0.9141</v>
      </c>
      <c r="Z34" s="4">
        <f t="shared" si="23"/>
        <v>0.7528</v>
      </c>
    </row>
    <row r="35" spans="17:26">
      <c r="Q35" s="4">
        <f t="shared" si="16"/>
        <v>0.0001</v>
      </c>
      <c r="R35" s="4">
        <f t="shared" ref="R35:Z35" si="24">ROUND(R10,4)+0.0001</f>
        <v>0.0607</v>
      </c>
      <c r="S35" s="4">
        <f t="shared" si="24"/>
        <v>0.1632</v>
      </c>
      <c r="T35" s="4">
        <f t="shared" si="24"/>
        <v>0.2535</v>
      </c>
      <c r="U35" s="4">
        <f t="shared" si="24"/>
        <v>0.3775</v>
      </c>
      <c r="V35" s="4">
        <f t="shared" si="24"/>
        <v>0.3977</v>
      </c>
      <c r="W35" s="4">
        <f t="shared" si="24"/>
        <v>0.4934</v>
      </c>
      <c r="X35" s="4">
        <f t="shared" si="24"/>
        <v>0.5594</v>
      </c>
      <c r="Y35" s="4">
        <f t="shared" si="24"/>
        <v>0.9314</v>
      </c>
      <c r="Z35" s="4">
        <f t="shared" si="24"/>
        <v>1.0001</v>
      </c>
    </row>
    <row r="36" spans="17:26">
      <c r="Q36" s="4">
        <f t="shared" si="16"/>
        <v>0.0001</v>
      </c>
      <c r="R36" s="4">
        <f t="shared" ref="R36:Z36" si="25">ROUND(R11,4)+0.0001</f>
        <v>0.1502</v>
      </c>
      <c r="S36" s="4">
        <f t="shared" si="25"/>
        <v>0.2694</v>
      </c>
      <c r="T36" s="4">
        <f t="shared" si="25"/>
        <v>0.3997</v>
      </c>
      <c r="U36" s="4">
        <f t="shared" si="25"/>
        <v>0.5652</v>
      </c>
      <c r="V36" s="4">
        <f t="shared" si="25"/>
        <v>0.7352</v>
      </c>
      <c r="W36" s="4">
        <f t="shared" si="25"/>
        <v>0.8456</v>
      </c>
      <c r="X36" s="4">
        <f t="shared" si="25"/>
        <v>0.8831</v>
      </c>
      <c r="Y36" s="4">
        <f t="shared" si="25"/>
        <v>0.9471</v>
      </c>
      <c r="Z36" s="4">
        <f t="shared" si="25"/>
        <v>1.0001</v>
      </c>
    </row>
    <row r="37" spans="17:26">
      <c r="W37" s="4"/>
      <c r="X37" s="4"/>
      <c r="Y37" s="4"/>
      <c r="Z37" s="4"/>
    </row>
    <row r="38" spans="17:26">
      <c r="Q38" s="4">
        <f t="shared" si="16"/>
        <v>1.0001</v>
      </c>
      <c r="R38" s="4">
        <f t="shared" ref="R38:Z38" si="26">ROUND(R13,4)+0.0001</f>
        <v>0.8251</v>
      </c>
      <c r="S38" s="4">
        <f t="shared" si="26"/>
        <v>0.6501</v>
      </c>
      <c r="T38" s="4">
        <f t="shared" si="26"/>
        <v>0.5501</v>
      </c>
      <c r="U38" s="4">
        <f t="shared" si="26"/>
        <v>0.3751</v>
      </c>
      <c r="V38" s="4">
        <f t="shared" si="26"/>
        <v>0.3251</v>
      </c>
      <c r="W38" s="4">
        <f t="shared" si="26"/>
        <v>0.2251</v>
      </c>
      <c r="X38" s="4">
        <f t="shared" si="26"/>
        <v>0.1501</v>
      </c>
      <c r="Y38" s="4">
        <f t="shared" si="26"/>
        <v>0.0501</v>
      </c>
      <c r="Z38" s="4">
        <f t="shared" si="26"/>
        <v>0.0001</v>
      </c>
    </row>
    <row r="39" spans="17:26">
      <c r="Q39" s="4">
        <f t="shared" ref="Q39:Q49" si="27">ROUND(Q14,4)+0.0001</f>
        <v>1.0001</v>
      </c>
      <c r="R39" s="4">
        <f t="shared" ref="R39:Z39" si="28">ROUND(R14,4)+0.0001</f>
        <v>0.905</v>
      </c>
      <c r="S39" s="4">
        <f t="shared" si="28"/>
        <v>0.7424</v>
      </c>
      <c r="T39" s="4">
        <f t="shared" si="28"/>
        <v>0.5553</v>
      </c>
      <c r="U39" s="4">
        <f t="shared" si="28"/>
        <v>0.3651</v>
      </c>
      <c r="V39" s="4">
        <f t="shared" si="28"/>
        <v>0.2762</v>
      </c>
      <c r="W39" s="4">
        <f t="shared" si="28"/>
        <v>0.1657</v>
      </c>
      <c r="X39" s="4">
        <f t="shared" si="28"/>
        <v>0.1197</v>
      </c>
      <c r="Y39" s="4">
        <f t="shared" si="28"/>
        <v>0.0093</v>
      </c>
      <c r="Z39" s="4">
        <f t="shared" si="28"/>
        <v>0.0001</v>
      </c>
    </row>
    <row r="40" spans="17:26">
      <c r="Q40" s="4">
        <f t="shared" si="27"/>
        <v>0.9487</v>
      </c>
      <c r="R40" s="4">
        <f t="shared" ref="R40:Z40" si="29">ROUND(R15,4)+0.0001</f>
        <v>1.0001</v>
      </c>
      <c r="S40" s="4">
        <f t="shared" si="29"/>
        <v>0.9372</v>
      </c>
      <c r="T40" s="4">
        <f t="shared" si="29"/>
        <v>0.8115</v>
      </c>
      <c r="U40" s="4">
        <f t="shared" si="29"/>
        <v>0.783</v>
      </c>
      <c r="V40" s="4">
        <f t="shared" si="29"/>
        <v>0.743</v>
      </c>
      <c r="W40" s="4">
        <f t="shared" si="29"/>
        <v>0.7772</v>
      </c>
      <c r="X40" s="4">
        <f t="shared" si="29"/>
        <v>0.6744</v>
      </c>
      <c r="Y40" s="4">
        <f t="shared" si="29"/>
        <v>0.3544</v>
      </c>
      <c r="Z40" s="4">
        <f t="shared" si="29"/>
        <v>0.0001</v>
      </c>
    </row>
    <row r="41" spans="17:26">
      <c r="Q41" s="4">
        <f t="shared" si="27"/>
        <v>0.9245</v>
      </c>
      <c r="R41" s="4">
        <f t="shared" ref="R41:Z41" si="30">ROUND(R16,4)+0.0001</f>
        <v>1.0001</v>
      </c>
      <c r="S41" s="4">
        <f t="shared" si="30"/>
        <v>0.162</v>
      </c>
      <c r="T41" s="4">
        <f t="shared" si="30"/>
        <v>0.1998</v>
      </c>
      <c r="U41" s="4">
        <f t="shared" si="30"/>
        <v>0.323</v>
      </c>
      <c r="V41" s="4">
        <f t="shared" si="30"/>
        <v>0.0905</v>
      </c>
      <c r="W41" s="4">
        <f t="shared" si="30"/>
        <v>0.0001</v>
      </c>
      <c r="X41" s="4">
        <f t="shared" si="30"/>
        <v>0.0494</v>
      </c>
      <c r="Y41" s="4">
        <f t="shared" si="30"/>
        <v>0.102</v>
      </c>
      <c r="Z41" s="4">
        <f t="shared" si="30"/>
        <v>0.1061</v>
      </c>
    </row>
    <row r="42" spans="17:26">
      <c r="Q42" s="4">
        <f t="shared" si="27"/>
        <v>0.2871</v>
      </c>
      <c r="R42" s="4">
        <f t="shared" ref="R42:Z42" si="31">ROUND(R17,4)+0.0001</f>
        <v>0.3612</v>
      </c>
      <c r="S42" s="4">
        <f t="shared" si="31"/>
        <v>0.3195</v>
      </c>
      <c r="T42" s="4">
        <f t="shared" si="31"/>
        <v>0.7825</v>
      </c>
      <c r="U42" s="4">
        <f t="shared" si="31"/>
        <v>0.8342</v>
      </c>
      <c r="V42" s="4">
        <f t="shared" si="31"/>
        <v>1.0001</v>
      </c>
      <c r="W42" s="4">
        <f t="shared" si="31"/>
        <v>0.8442</v>
      </c>
      <c r="X42" s="4">
        <f t="shared" si="31"/>
        <v>0.0001</v>
      </c>
      <c r="Y42" s="4">
        <f t="shared" si="31"/>
        <v>0.301</v>
      </c>
      <c r="Z42" s="4">
        <f t="shared" si="31"/>
        <v>0.3041</v>
      </c>
    </row>
    <row r="43" spans="17:26">
      <c r="Q43" s="4">
        <f t="shared" si="27"/>
        <v>0.0001</v>
      </c>
      <c r="R43" s="4">
        <f t="shared" ref="R43:Z43" si="32">ROUND(R18,4)+0.0001</f>
        <v>0.5846</v>
      </c>
      <c r="S43" s="4">
        <f t="shared" si="32"/>
        <v>0.6475</v>
      </c>
      <c r="T43" s="4">
        <f t="shared" si="32"/>
        <v>0.6538</v>
      </c>
      <c r="U43" s="4">
        <f t="shared" si="32"/>
        <v>0.658</v>
      </c>
      <c r="V43" s="4">
        <f t="shared" si="32"/>
        <v>0.6811</v>
      </c>
      <c r="W43" s="4">
        <f t="shared" si="32"/>
        <v>0.7399</v>
      </c>
      <c r="X43" s="4">
        <f t="shared" si="32"/>
        <v>0.8385</v>
      </c>
      <c r="Y43" s="4">
        <f t="shared" si="32"/>
        <v>0.9518</v>
      </c>
      <c r="Z43" s="4">
        <f t="shared" si="32"/>
        <v>1.0001</v>
      </c>
    </row>
    <row r="44" spans="17:26">
      <c r="Q44" s="4">
        <f t="shared" si="27"/>
        <v>0.4602</v>
      </c>
      <c r="R44" s="4">
        <f t="shared" ref="R44:Z44" si="33">ROUND(R19,4)+0.0001</f>
        <v>0.0001</v>
      </c>
      <c r="S44" s="4">
        <f t="shared" si="33"/>
        <v>0.717</v>
      </c>
      <c r="T44" s="4">
        <f t="shared" si="33"/>
        <v>0.7156</v>
      </c>
      <c r="U44" s="4">
        <f t="shared" si="33"/>
        <v>0.7548</v>
      </c>
      <c r="V44" s="4">
        <f t="shared" si="33"/>
        <v>0.8332</v>
      </c>
      <c r="W44" s="4">
        <f t="shared" si="33"/>
        <v>1.0001</v>
      </c>
      <c r="X44" s="4">
        <f t="shared" si="33"/>
        <v>0.9867</v>
      </c>
      <c r="Y44" s="4">
        <f t="shared" si="33"/>
        <v>0.853</v>
      </c>
      <c r="Z44" s="4">
        <f t="shared" si="33"/>
        <v>0.5819</v>
      </c>
    </row>
    <row r="45" spans="17:26">
      <c r="Q45" s="4">
        <f t="shared" si="27"/>
        <v>0.0635</v>
      </c>
      <c r="R45" s="4">
        <f t="shared" ref="R45:Z45" si="34">ROUND(R20,4)+0.0001</f>
        <v>0.0001</v>
      </c>
      <c r="S45" s="4">
        <f t="shared" si="34"/>
        <v>0.9134</v>
      </c>
      <c r="T45" s="4">
        <f t="shared" si="34"/>
        <v>0.9019</v>
      </c>
      <c r="U45" s="4">
        <f t="shared" si="34"/>
        <v>0.8867</v>
      </c>
      <c r="V45" s="4">
        <f t="shared" si="34"/>
        <v>0.9406</v>
      </c>
      <c r="W45" s="4">
        <f t="shared" si="34"/>
        <v>0.9786</v>
      </c>
      <c r="X45" s="4">
        <f t="shared" si="34"/>
        <v>0.9943</v>
      </c>
      <c r="Y45" s="4">
        <f t="shared" si="34"/>
        <v>0.9972</v>
      </c>
      <c r="Z45" s="4">
        <f t="shared" si="34"/>
        <v>1.0001</v>
      </c>
    </row>
    <row r="46" spans="17:26">
      <c r="Q46" s="4">
        <f t="shared" si="27"/>
        <v>0.5881</v>
      </c>
      <c r="R46" s="4">
        <f t="shared" ref="R46:Z46" si="35">ROUND(R21,4)+0.0001</f>
        <v>0.5366</v>
      </c>
      <c r="S46" s="4">
        <f t="shared" si="35"/>
        <v>0.4121</v>
      </c>
      <c r="T46" s="4">
        <f t="shared" si="35"/>
        <v>0.2147</v>
      </c>
      <c r="U46" s="4">
        <f t="shared" si="35"/>
        <v>0.1031</v>
      </c>
      <c r="V46" s="4">
        <f t="shared" si="35"/>
        <v>0.0001</v>
      </c>
      <c r="W46" s="4">
        <f t="shared" si="35"/>
        <v>0.0044</v>
      </c>
      <c r="X46" s="4">
        <f t="shared" si="35"/>
        <v>0.0688</v>
      </c>
      <c r="Y46" s="4">
        <f t="shared" si="35"/>
        <v>0.8198</v>
      </c>
      <c r="Z46" s="4">
        <f t="shared" si="35"/>
        <v>1.0001</v>
      </c>
    </row>
    <row r="47" spans="17:26">
      <c r="Q47" s="4">
        <f t="shared" si="27"/>
        <v>1.0001</v>
      </c>
      <c r="R47" s="4">
        <f t="shared" ref="R47:Z47" si="36">ROUND(R22,4)+0.0001</f>
        <v>0.8994</v>
      </c>
      <c r="S47" s="4">
        <f t="shared" si="36"/>
        <v>0.785</v>
      </c>
      <c r="T47" s="4">
        <f t="shared" si="36"/>
        <v>0.6689</v>
      </c>
      <c r="U47" s="4">
        <f t="shared" si="36"/>
        <v>0.5215</v>
      </c>
      <c r="V47" s="4">
        <f t="shared" si="36"/>
        <v>0.432</v>
      </c>
      <c r="W47" s="4">
        <f t="shared" si="36"/>
        <v>0.3281</v>
      </c>
      <c r="X47" s="4">
        <f t="shared" si="36"/>
        <v>0.2765</v>
      </c>
      <c r="Y47" s="4">
        <f t="shared" si="36"/>
        <v>0.0557</v>
      </c>
      <c r="Z47" s="4">
        <f t="shared" si="36"/>
        <v>0.0001</v>
      </c>
    </row>
    <row r="48" spans="17:26">
      <c r="Q48" s="4">
        <f t="shared" si="27"/>
        <v>0.8519</v>
      </c>
      <c r="R48" s="4">
        <f t="shared" ref="R48:Z48" si="37">ROUND(R23,4)+0.0001</f>
        <v>0.2933</v>
      </c>
      <c r="S48" s="4">
        <f t="shared" si="37"/>
        <v>1.0001</v>
      </c>
      <c r="T48" s="4">
        <f t="shared" si="37"/>
        <v>0.7232</v>
      </c>
      <c r="U48" s="4">
        <f t="shared" si="37"/>
        <v>0.0001</v>
      </c>
      <c r="V48" s="4">
        <f t="shared" si="37"/>
        <v>0.4692</v>
      </c>
      <c r="W48" s="4">
        <f t="shared" si="37"/>
        <v>0.4936</v>
      </c>
      <c r="X48" s="4">
        <f t="shared" si="37"/>
        <v>0.1809</v>
      </c>
      <c r="Y48" s="4">
        <f t="shared" si="37"/>
        <v>0.3665</v>
      </c>
      <c r="Z48" s="4">
        <f t="shared" si="37"/>
        <v>0.9415</v>
      </c>
    </row>
    <row r="49" spans="17:26">
      <c r="Q49" s="4">
        <f t="shared" si="27"/>
        <v>0.3139</v>
      </c>
      <c r="R49" s="4">
        <f t="shared" ref="R49:Z49" si="38">ROUND(R24,4)+0.0001</f>
        <v>0.282</v>
      </c>
      <c r="S49" s="4">
        <f t="shared" si="38"/>
        <v>0.5573</v>
      </c>
      <c r="T49" s="4">
        <f t="shared" si="38"/>
        <v>0.511</v>
      </c>
      <c r="U49" s="4">
        <f t="shared" si="38"/>
        <v>0.2617</v>
      </c>
      <c r="V49" s="4">
        <f t="shared" si="38"/>
        <v>0.0001</v>
      </c>
      <c r="W49" s="4">
        <f t="shared" si="38"/>
        <v>0.3595</v>
      </c>
      <c r="X49" s="4">
        <f t="shared" si="38"/>
        <v>1.0001</v>
      </c>
      <c r="Y49" s="4">
        <f t="shared" si="38"/>
        <v>0.553</v>
      </c>
      <c r="Z49" s="4">
        <f t="shared" si="38"/>
        <v>0.1733</v>
      </c>
    </row>
  </sheetData>
  <pageMargins left="0.7" right="0.7" top="0.75" bottom="0.75" header="0.3" footer="0.3"/>
  <pageSetup paperSize="9" orientation="portrait"/>
  <headerFooter/>
  <ignoredErrors>
    <ignoredError sqref="N21:Z21 A1:K3 B4:K4 A5:K14 A15 A16:K18 B19:K20 A21:A24 N19:Q20 N1:Z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9"/>
  <sheetViews>
    <sheetView workbookViewId="0">
      <selection activeCell="L23" sqref="L23:X49"/>
    </sheetView>
  </sheetViews>
  <sheetFormatPr defaultColWidth="9" defaultRowHeight="13.5"/>
  <cols>
    <col min="1" max="1" width="31.6283185840708" customWidth="1"/>
  </cols>
  <sheetData>
    <row r="1" spans="1:24">
      <c r="A1" s="218" t="s">
        <v>0</v>
      </c>
      <c r="B1" s="218">
        <v>2014</v>
      </c>
      <c r="C1" s="218">
        <v>2015</v>
      </c>
      <c r="D1" s="218">
        <v>2016</v>
      </c>
      <c r="E1" s="218">
        <v>2017</v>
      </c>
      <c r="F1" s="218">
        <v>2018</v>
      </c>
      <c r="G1" s="218">
        <v>2019</v>
      </c>
      <c r="H1" s="218">
        <v>2020</v>
      </c>
      <c r="I1" s="218">
        <v>2021</v>
      </c>
      <c r="J1" s="4">
        <v>2022</v>
      </c>
      <c r="K1" s="4">
        <v>2023</v>
      </c>
      <c r="L1" s="4" t="s">
        <v>2</v>
      </c>
      <c r="M1" s="219" t="s">
        <v>3</v>
      </c>
      <c r="N1" s="4" t="s">
        <v>4</v>
      </c>
      <c r="O1" s="4">
        <v>2014</v>
      </c>
      <c r="P1" s="4">
        <v>2015</v>
      </c>
      <c r="Q1" s="4">
        <v>2016</v>
      </c>
      <c r="R1" s="4">
        <v>2017</v>
      </c>
      <c r="S1" s="4">
        <v>2018</v>
      </c>
      <c r="T1" s="4">
        <v>2019</v>
      </c>
      <c r="U1" s="4">
        <v>2020</v>
      </c>
      <c r="V1" s="4">
        <v>2021</v>
      </c>
      <c r="W1" s="4">
        <v>2022</v>
      </c>
      <c r="X1" s="4">
        <v>2023</v>
      </c>
    </row>
    <row r="2" ht="15.75" spans="1:24">
      <c r="A2" s="220" t="s">
        <v>5</v>
      </c>
      <c r="B2" s="4">
        <v>3273.58</v>
      </c>
      <c r="C2" s="4">
        <v>3466.03</v>
      </c>
      <c r="D2">
        <v>3784.27</v>
      </c>
      <c r="E2">
        <v>4351.72</v>
      </c>
      <c r="F2" s="4">
        <v>4791.41</v>
      </c>
      <c r="G2" s="4">
        <v>5995</v>
      </c>
      <c r="H2" s="4">
        <v>6384</v>
      </c>
      <c r="I2" s="4">
        <v>7034</v>
      </c>
      <c r="J2" s="4">
        <v>7803</v>
      </c>
      <c r="K2" s="40">
        <v>8066</v>
      </c>
      <c r="L2" s="4">
        <f t="shared" ref="L2:L11" si="0">MAX(B2:K2)</f>
        <v>8066</v>
      </c>
      <c r="M2" s="4">
        <f t="shared" ref="M2:M11" si="1">MIN(B2:K2)</f>
        <v>3273.58</v>
      </c>
      <c r="N2" s="4">
        <f t="shared" ref="N2:N11" si="2">L2-M2</f>
        <v>4792.42</v>
      </c>
      <c r="O2" s="4">
        <f t="shared" ref="O2:O11" si="3">(B2-M2)/N2</f>
        <v>0</v>
      </c>
      <c r="P2" s="4">
        <f t="shared" ref="P2:P11" si="4">(C2-M2)/N2</f>
        <v>0.0401571648561688</v>
      </c>
      <c r="Q2" s="4">
        <f t="shared" ref="Q2:Q11" si="5">(D2-M2)/N2</f>
        <v>0.106562029204452</v>
      </c>
      <c r="R2" s="4">
        <f t="shared" ref="R2:R11" si="6">(E2-M2)/N2</f>
        <v>0.224967761590178</v>
      </c>
      <c r="S2" s="4">
        <f t="shared" ref="S2:S11" si="7">(F2-M2)/N2</f>
        <v>0.3167147286757</v>
      </c>
      <c r="T2" s="4">
        <f t="shared" ref="T2:T11" si="8">(G2-M2)/N2</f>
        <v>0.567859244390099</v>
      </c>
      <c r="U2" s="4">
        <f t="shared" ref="U2:U11" si="9">(H2-M2)/N2</f>
        <v>0.649029091774093</v>
      </c>
      <c r="V2" s="4">
        <f t="shared" ref="V2:V11" si="10">(I2-M2)/N2</f>
        <v>0.784659942158659</v>
      </c>
      <c r="W2" s="4">
        <f t="shared" ref="W2:W11" si="11">(J2-M2)/N2</f>
        <v>0.945121671305937</v>
      </c>
      <c r="X2" s="4">
        <f t="shared" ref="X2:X11" si="12">(K2-M2)/N2</f>
        <v>1</v>
      </c>
    </row>
    <row r="3" ht="15.75" spans="1:24">
      <c r="A3" s="220" t="s">
        <v>7</v>
      </c>
      <c r="B3" s="4">
        <v>441</v>
      </c>
      <c r="C3" s="171">
        <v>454</v>
      </c>
      <c r="D3">
        <v>465</v>
      </c>
      <c r="E3">
        <v>478</v>
      </c>
      <c r="F3" s="4">
        <v>496</v>
      </c>
      <c r="G3" s="4">
        <v>512</v>
      </c>
      <c r="H3" s="4">
        <v>518</v>
      </c>
      <c r="I3" s="4">
        <v>528</v>
      </c>
      <c r="J3" s="4">
        <v>530</v>
      </c>
      <c r="K3" s="4">
        <v>532</v>
      </c>
      <c r="L3" s="4">
        <f t="shared" si="0"/>
        <v>532</v>
      </c>
      <c r="M3" s="4">
        <f t="shared" si="1"/>
        <v>441</v>
      </c>
      <c r="N3" s="4">
        <f t="shared" si="2"/>
        <v>91</v>
      </c>
      <c r="O3" s="4">
        <f t="shared" si="3"/>
        <v>0</v>
      </c>
      <c r="P3" s="4">
        <f t="shared" si="4"/>
        <v>0.142857142857143</v>
      </c>
      <c r="Q3" s="4">
        <f t="shared" si="5"/>
        <v>0.263736263736264</v>
      </c>
      <c r="R3" s="4">
        <f t="shared" si="6"/>
        <v>0.406593406593407</v>
      </c>
      <c r="S3" s="4">
        <f t="shared" si="7"/>
        <v>0.604395604395604</v>
      </c>
      <c r="T3" s="4">
        <f t="shared" si="8"/>
        <v>0.78021978021978</v>
      </c>
      <c r="U3" s="4">
        <f t="shared" si="9"/>
        <v>0.846153846153846</v>
      </c>
      <c r="V3" s="4">
        <f t="shared" si="10"/>
        <v>0.956043956043956</v>
      </c>
      <c r="W3" s="4">
        <f t="shared" si="11"/>
        <v>0.978021978021978</v>
      </c>
      <c r="X3" s="4">
        <f t="shared" si="12"/>
        <v>1</v>
      </c>
    </row>
    <row r="4" ht="15.75" spans="1:24">
      <c r="A4" s="220" t="s">
        <v>8</v>
      </c>
      <c r="B4" s="4">
        <v>596.51</v>
      </c>
      <c r="C4" s="4">
        <v>577.6</v>
      </c>
      <c r="D4">
        <v>618.22</v>
      </c>
      <c r="E4">
        <v>656.28</v>
      </c>
      <c r="F4" s="4">
        <v>699.88</v>
      </c>
      <c r="G4" s="4">
        <v>782.18</v>
      </c>
      <c r="H4" s="4">
        <v>845.85</v>
      </c>
      <c r="I4" s="4">
        <v>445.79</v>
      </c>
      <c r="J4" s="4">
        <v>952.26</v>
      </c>
      <c r="K4" s="4">
        <v>1007.86</v>
      </c>
      <c r="L4" s="4">
        <f t="shared" si="0"/>
        <v>1007.86</v>
      </c>
      <c r="M4" s="4">
        <f t="shared" si="1"/>
        <v>445.79</v>
      </c>
      <c r="N4" s="4">
        <f t="shared" si="2"/>
        <v>562.07</v>
      </c>
      <c r="O4" s="4">
        <f>(L4-B4)/N4</f>
        <v>0.731848346291387</v>
      </c>
      <c r="P4" s="4">
        <f>(L4-C4)/N4</f>
        <v>0.76549184265305</v>
      </c>
      <c r="Q4" s="4">
        <f>(L4-D4)/N4</f>
        <v>0.693223264006263</v>
      </c>
      <c r="R4" s="4">
        <f>(L4-E4)/N4</f>
        <v>0.625509278203783</v>
      </c>
      <c r="S4" s="4">
        <f>(L4-F4)/N4</f>
        <v>0.547938868824168</v>
      </c>
      <c r="T4" s="4">
        <f>(L4-G4)/N4</f>
        <v>0.401515825430996</v>
      </c>
      <c r="U4" s="4">
        <f>(L4-H4)/N4</f>
        <v>0.288238119807141</v>
      </c>
      <c r="V4" s="4">
        <f>(L4-I4)/N4</f>
        <v>1</v>
      </c>
      <c r="W4" s="4">
        <f>(L4-J4)/N4</f>
        <v>0.0989200633373068</v>
      </c>
      <c r="X4" s="4">
        <f>(L4-K4)/N4</f>
        <v>0</v>
      </c>
    </row>
    <row r="5" ht="15.75" spans="1:24">
      <c r="A5" s="220" t="s">
        <v>10</v>
      </c>
      <c r="B5" s="4">
        <v>2.08</v>
      </c>
      <c r="C5" s="4">
        <v>2.04</v>
      </c>
      <c r="D5">
        <v>2.23</v>
      </c>
      <c r="E5">
        <v>2.56</v>
      </c>
      <c r="F5" s="4">
        <v>2.82</v>
      </c>
      <c r="G5" s="4">
        <v>3.52</v>
      </c>
      <c r="H5" s="4">
        <v>3.75</v>
      </c>
      <c r="I5" s="4">
        <v>4.14</v>
      </c>
      <c r="J5" s="4">
        <v>4.59</v>
      </c>
      <c r="K5" s="4">
        <v>4.74</v>
      </c>
      <c r="L5" s="4">
        <f t="shared" si="0"/>
        <v>4.74</v>
      </c>
      <c r="M5" s="4">
        <f t="shared" si="1"/>
        <v>2.04</v>
      </c>
      <c r="N5" s="4">
        <f t="shared" si="2"/>
        <v>2.7</v>
      </c>
      <c r="O5" s="4">
        <f t="shared" si="3"/>
        <v>0.0148148148148148</v>
      </c>
      <c r="P5" s="4">
        <f t="shared" si="4"/>
        <v>0</v>
      </c>
      <c r="Q5" s="4">
        <f t="shared" si="5"/>
        <v>0.0703703703703703</v>
      </c>
      <c r="R5" s="4">
        <f t="shared" si="6"/>
        <v>0.192592592592593</v>
      </c>
      <c r="S5" s="4">
        <f t="shared" si="7"/>
        <v>0.288888888888889</v>
      </c>
      <c r="T5" s="4">
        <f t="shared" si="8"/>
        <v>0.548148148148148</v>
      </c>
      <c r="U5" s="4">
        <f t="shared" si="9"/>
        <v>0.633333333333333</v>
      </c>
      <c r="V5" s="4">
        <f t="shared" si="10"/>
        <v>0.777777777777778</v>
      </c>
      <c r="W5" s="4">
        <f t="shared" si="11"/>
        <v>0.944444444444444</v>
      </c>
      <c r="X5" s="4">
        <f t="shared" si="12"/>
        <v>1</v>
      </c>
    </row>
    <row r="6" ht="15.75" spans="1:24">
      <c r="A6" s="220" t="s">
        <v>11</v>
      </c>
      <c r="B6" s="4">
        <v>12331.04</v>
      </c>
      <c r="C6" s="4">
        <v>13350.15</v>
      </c>
      <c r="D6">
        <v>13934.12</v>
      </c>
      <c r="E6">
        <v>14578.79</v>
      </c>
      <c r="F6" s="4">
        <v>15212.53</v>
      </c>
      <c r="G6" s="4">
        <v>15007.33</v>
      </c>
      <c r="H6" s="4">
        <v>15133.96</v>
      </c>
      <c r="I6" s="4">
        <v>7976.01</v>
      </c>
      <c r="J6" s="4">
        <v>16675.67</v>
      </c>
      <c r="K6" s="4">
        <v>17521.35</v>
      </c>
      <c r="L6" s="4">
        <f t="shared" si="0"/>
        <v>17521.35</v>
      </c>
      <c r="M6" s="4">
        <f t="shared" si="1"/>
        <v>7976.01</v>
      </c>
      <c r="N6" s="4">
        <f t="shared" si="2"/>
        <v>9545.34</v>
      </c>
      <c r="O6" s="4">
        <f t="shared" si="3"/>
        <v>0.456246713055795</v>
      </c>
      <c r="P6" s="4">
        <f t="shared" si="4"/>
        <v>0.563011898999931</v>
      </c>
      <c r="Q6" s="4">
        <f t="shared" si="5"/>
        <v>0.624190442666265</v>
      </c>
      <c r="R6" s="4">
        <f t="shared" si="6"/>
        <v>0.691728110261133</v>
      </c>
      <c r="S6" s="4">
        <f t="shared" si="7"/>
        <v>0.758120716496217</v>
      </c>
      <c r="T6" s="4">
        <f t="shared" si="8"/>
        <v>0.736623315670264</v>
      </c>
      <c r="U6" s="4">
        <f t="shared" si="9"/>
        <v>0.749889474864175</v>
      </c>
      <c r="V6" s="4">
        <f t="shared" si="10"/>
        <v>0</v>
      </c>
      <c r="W6" s="4">
        <f t="shared" si="11"/>
        <v>0.911403889227623</v>
      </c>
      <c r="X6" s="4">
        <f t="shared" si="12"/>
        <v>1</v>
      </c>
    </row>
    <row r="7" ht="15.75" spans="1:24">
      <c r="A7" s="220" t="s">
        <v>12</v>
      </c>
      <c r="B7" s="4">
        <v>1562.16</v>
      </c>
      <c r="C7" s="4">
        <v>1887.65</v>
      </c>
      <c r="D7">
        <v>2159.81</v>
      </c>
      <c r="E7">
        <v>2381.46</v>
      </c>
      <c r="F7" s="4">
        <v>2622.39</v>
      </c>
      <c r="G7" s="4">
        <v>2858.41</v>
      </c>
      <c r="H7" s="4">
        <v>3108.95</v>
      </c>
      <c r="I7" s="4">
        <v>3459.66</v>
      </c>
      <c r="J7" s="4">
        <v>2971.08</v>
      </c>
      <c r="K7" s="4">
        <v>2985.94</v>
      </c>
      <c r="L7" s="4">
        <f t="shared" si="0"/>
        <v>3459.66</v>
      </c>
      <c r="M7" s="4">
        <f t="shared" si="1"/>
        <v>1562.16</v>
      </c>
      <c r="N7" s="4">
        <f t="shared" si="2"/>
        <v>1897.5</v>
      </c>
      <c r="O7" s="4">
        <f t="shared" si="3"/>
        <v>0</v>
      </c>
      <c r="P7" s="4">
        <f t="shared" si="4"/>
        <v>0.171536231884058</v>
      </c>
      <c r="Q7" s="4">
        <f t="shared" si="5"/>
        <v>0.314967061923584</v>
      </c>
      <c r="R7" s="4">
        <f t="shared" si="6"/>
        <v>0.431778656126482</v>
      </c>
      <c r="S7" s="4">
        <f t="shared" si="7"/>
        <v>0.558750988142292</v>
      </c>
      <c r="T7" s="4">
        <f t="shared" si="8"/>
        <v>0.683135704874835</v>
      </c>
      <c r="U7" s="4">
        <f t="shared" si="9"/>
        <v>0.815172595520422</v>
      </c>
      <c r="V7" s="4">
        <f t="shared" si="10"/>
        <v>1</v>
      </c>
      <c r="W7" s="4">
        <f t="shared" si="11"/>
        <v>0.742513833992095</v>
      </c>
      <c r="X7" s="4">
        <f t="shared" si="12"/>
        <v>0.750345191040843</v>
      </c>
    </row>
    <row r="8" ht="15.75" spans="1:24">
      <c r="A8" s="220" t="s">
        <v>13</v>
      </c>
      <c r="B8" s="4">
        <v>24314.81</v>
      </c>
      <c r="C8" s="4">
        <v>25736.19</v>
      </c>
      <c r="D8">
        <v>27601.28</v>
      </c>
      <c r="E8">
        <v>30266.63</v>
      </c>
      <c r="F8" s="4">
        <v>31097.22</v>
      </c>
      <c r="G8" s="4">
        <v>44099.93</v>
      </c>
      <c r="H8" s="4">
        <v>44283.21</v>
      </c>
      <c r="I8" s="4">
        <v>23338.45</v>
      </c>
      <c r="J8" s="4">
        <v>50289.85</v>
      </c>
      <c r="K8" s="4">
        <v>51566.41</v>
      </c>
      <c r="L8" s="4">
        <f t="shared" si="0"/>
        <v>51566.41</v>
      </c>
      <c r="M8" s="4">
        <f t="shared" si="1"/>
        <v>23338.45</v>
      </c>
      <c r="N8" s="4">
        <f t="shared" si="2"/>
        <v>28227.96</v>
      </c>
      <c r="O8" s="4">
        <f t="shared" si="3"/>
        <v>0.0345884010038274</v>
      </c>
      <c r="P8" s="4">
        <f t="shared" si="4"/>
        <v>0.0849420220235539</v>
      </c>
      <c r="Q8" s="4">
        <f t="shared" si="5"/>
        <v>0.151014455171397</v>
      </c>
      <c r="R8" s="4">
        <f t="shared" si="6"/>
        <v>0.245436793873875</v>
      </c>
      <c r="S8" s="4">
        <f t="shared" si="7"/>
        <v>0.274861166021207</v>
      </c>
      <c r="T8" s="4">
        <f t="shared" si="8"/>
        <v>0.735493461093186</v>
      </c>
      <c r="U8" s="4">
        <f t="shared" si="9"/>
        <v>0.741986314278467</v>
      </c>
      <c r="V8" s="4">
        <f t="shared" si="10"/>
        <v>0</v>
      </c>
      <c r="W8" s="4">
        <f t="shared" si="11"/>
        <v>0.95477675326166</v>
      </c>
      <c r="X8" s="4">
        <f t="shared" si="12"/>
        <v>1</v>
      </c>
    </row>
    <row r="9" ht="15.75" spans="1:24">
      <c r="A9" s="220" t="s">
        <v>14</v>
      </c>
      <c r="B9" s="4">
        <v>99.28</v>
      </c>
      <c r="C9" s="4">
        <v>99.31</v>
      </c>
      <c r="D9">
        <v>99.39</v>
      </c>
      <c r="E9">
        <v>99.46</v>
      </c>
      <c r="F9" s="4">
        <v>99.49</v>
      </c>
      <c r="G9" s="4">
        <v>99.56</v>
      </c>
      <c r="H9" s="4">
        <v>99.55</v>
      </c>
      <c r="I9" s="4">
        <v>99.59</v>
      </c>
      <c r="J9" s="4">
        <v>99.62</v>
      </c>
      <c r="K9" s="4">
        <v>99.66</v>
      </c>
      <c r="L9" s="4">
        <f t="shared" si="0"/>
        <v>99.66</v>
      </c>
      <c r="M9" s="4">
        <f t="shared" si="1"/>
        <v>99.28</v>
      </c>
      <c r="N9" s="4">
        <f t="shared" si="2"/>
        <v>0.379999999999995</v>
      </c>
      <c r="O9" s="4">
        <f t="shared" si="3"/>
        <v>0</v>
      </c>
      <c r="P9" s="4">
        <f t="shared" si="4"/>
        <v>0.0789473684210566</v>
      </c>
      <c r="Q9" s="4">
        <f t="shared" si="5"/>
        <v>0.289473684210528</v>
      </c>
      <c r="R9" s="4">
        <f t="shared" si="6"/>
        <v>0.473684210526302</v>
      </c>
      <c r="S9" s="4">
        <f t="shared" si="7"/>
        <v>0.552631578947359</v>
      </c>
      <c r="T9" s="4">
        <f t="shared" si="8"/>
        <v>0.73684210526317</v>
      </c>
      <c r="U9" s="4">
        <f t="shared" si="9"/>
        <v>0.710526315789472</v>
      </c>
      <c r="V9" s="4">
        <f t="shared" si="10"/>
        <v>0.815789473684226</v>
      </c>
      <c r="W9" s="4">
        <f t="shared" si="11"/>
        <v>0.894736842105283</v>
      </c>
      <c r="X9" s="4">
        <f t="shared" si="12"/>
        <v>1</v>
      </c>
    </row>
    <row r="10" ht="15.75" spans="1:24">
      <c r="A10" s="220" t="s">
        <v>15</v>
      </c>
      <c r="B10" s="4">
        <v>34.99</v>
      </c>
      <c r="C10" s="4">
        <v>35.13</v>
      </c>
      <c r="D10">
        <v>35.13</v>
      </c>
      <c r="E10">
        <v>35.2</v>
      </c>
      <c r="F10" s="4">
        <v>34.96</v>
      </c>
      <c r="G10" s="4">
        <v>34.73</v>
      </c>
      <c r="H10" s="4">
        <v>34.61</v>
      </c>
      <c r="I10" s="4">
        <v>34.45</v>
      </c>
      <c r="J10" s="4">
        <v>34.24</v>
      </c>
      <c r="K10" s="4">
        <v>34.01</v>
      </c>
      <c r="L10" s="4">
        <f t="shared" si="0"/>
        <v>35.2</v>
      </c>
      <c r="M10" s="4">
        <f t="shared" si="1"/>
        <v>34.01</v>
      </c>
      <c r="N10" s="4">
        <f t="shared" si="2"/>
        <v>1.19</v>
      </c>
      <c r="O10" s="4">
        <f t="shared" si="3"/>
        <v>0.823529411764706</v>
      </c>
      <c r="P10" s="4">
        <f t="shared" si="4"/>
        <v>0.941176470588235</v>
      </c>
      <c r="Q10" s="4">
        <f t="shared" si="5"/>
        <v>0.941176470588235</v>
      </c>
      <c r="R10" s="4">
        <f t="shared" si="6"/>
        <v>1</v>
      </c>
      <c r="S10" s="4">
        <f t="shared" si="7"/>
        <v>0.798319327731092</v>
      </c>
      <c r="T10" s="4">
        <f t="shared" si="8"/>
        <v>0.605042016806719</v>
      </c>
      <c r="U10" s="4">
        <f t="shared" si="9"/>
        <v>0.504201680672268</v>
      </c>
      <c r="V10" s="4">
        <f t="shared" si="10"/>
        <v>0.369747899159666</v>
      </c>
      <c r="W10" s="4">
        <f t="shared" si="11"/>
        <v>0.193277310924372</v>
      </c>
      <c r="X10" s="4">
        <f t="shared" si="12"/>
        <v>0</v>
      </c>
    </row>
    <row r="11" ht="15.75" spans="1:24">
      <c r="A11" s="220" t="s">
        <v>16</v>
      </c>
      <c r="B11" s="4">
        <v>20.71</v>
      </c>
      <c r="C11" s="4">
        <v>21.17</v>
      </c>
      <c r="D11">
        <v>21.71</v>
      </c>
      <c r="E11">
        <v>22.33</v>
      </c>
      <c r="F11" s="4">
        <v>22.88</v>
      </c>
      <c r="G11" s="4">
        <v>23.34</v>
      </c>
      <c r="H11" s="4">
        <v>23.64</v>
      </c>
      <c r="I11" s="4">
        <v>23.8</v>
      </c>
      <c r="J11" s="4">
        <v>24.09</v>
      </c>
      <c r="K11" s="4">
        <v>24.5</v>
      </c>
      <c r="L11" s="4">
        <f t="shared" si="0"/>
        <v>24.5</v>
      </c>
      <c r="M11" s="4">
        <f t="shared" si="1"/>
        <v>20.71</v>
      </c>
      <c r="N11" s="4">
        <f t="shared" si="2"/>
        <v>3.79</v>
      </c>
      <c r="O11" s="4">
        <f t="shared" si="3"/>
        <v>0</v>
      </c>
      <c r="P11" s="4">
        <f t="shared" si="4"/>
        <v>0.121372031662269</v>
      </c>
      <c r="Q11" s="4">
        <f t="shared" si="5"/>
        <v>0.263852242744063</v>
      </c>
      <c r="R11" s="4">
        <f t="shared" si="6"/>
        <v>0.427440633245382</v>
      </c>
      <c r="S11" s="4">
        <f t="shared" si="7"/>
        <v>0.572559366754617</v>
      </c>
      <c r="T11" s="4">
        <f t="shared" si="8"/>
        <v>0.693931398416886</v>
      </c>
      <c r="U11" s="4">
        <f t="shared" si="9"/>
        <v>0.773087071240106</v>
      </c>
      <c r="V11" s="4">
        <f t="shared" si="10"/>
        <v>0.815303430079156</v>
      </c>
      <c r="W11" s="4">
        <f t="shared" si="11"/>
        <v>0.891820580474934</v>
      </c>
      <c r="X11" s="4">
        <f t="shared" si="12"/>
        <v>1</v>
      </c>
    </row>
    <row r="12" spans="1:24">
      <c r="A12" s="218"/>
      <c r="B12" s="4"/>
      <c r="C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A13" s="218" t="s">
        <v>17</v>
      </c>
      <c r="B13" s="4">
        <v>0.19</v>
      </c>
      <c r="C13" s="4">
        <v>0.19</v>
      </c>
      <c r="D13">
        <v>0.16</v>
      </c>
      <c r="E13">
        <v>0.14</v>
      </c>
      <c r="F13" s="4">
        <v>0.11</v>
      </c>
      <c r="G13" s="4">
        <v>0.1</v>
      </c>
      <c r="H13" s="4">
        <v>0.09</v>
      </c>
      <c r="I13" s="4">
        <v>0.09</v>
      </c>
      <c r="J13" s="4">
        <v>0.08</v>
      </c>
      <c r="K13" s="4">
        <v>0.09</v>
      </c>
      <c r="L13" s="4">
        <f t="shared" ref="L13:L24" si="13">MAX(B13:K13)</f>
        <v>0.19</v>
      </c>
      <c r="M13" s="4">
        <f t="shared" ref="M13:M24" si="14">MIN(B13:K13)</f>
        <v>0.08</v>
      </c>
      <c r="N13" s="4">
        <f t="shared" ref="N13:N24" si="15">L13-M13</f>
        <v>0.11</v>
      </c>
      <c r="O13" s="4">
        <f t="shared" ref="O13:O18" si="16">(B13-M13)/N13</f>
        <v>1</v>
      </c>
      <c r="P13" s="4">
        <f t="shared" ref="P13:P18" si="17">(C13-M13)/N13</f>
        <v>1</v>
      </c>
      <c r="Q13" s="4">
        <f t="shared" ref="Q13:Q18" si="18">(D13-M13)/N13</f>
        <v>0.727272727272727</v>
      </c>
      <c r="R13" s="4">
        <f t="shared" ref="R13:R18" si="19">(E13-M13)/N13</f>
        <v>0.545454545454546</v>
      </c>
      <c r="S13" s="4">
        <f t="shared" ref="S13:S18" si="20">(F13-M13)/N13</f>
        <v>0.272727272727273</v>
      </c>
      <c r="T13" s="4">
        <f t="shared" ref="T13:T18" si="21">(G13-M13)/N13</f>
        <v>0.181818181818182</v>
      </c>
      <c r="U13" s="4">
        <f t="shared" ref="U13:U18" si="22">(H13-M13)/N13</f>
        <v>0.0909090909090909</v>
      </c>
      <c r="V13" s="4">
        <f t="shared" ref="V13:V18" si="23">(I13-M13)/N13</f>
        <v>0.0909090909090909</v>
      </c>
      <c r="W13" s="4">
        <f t="shared" ref="W13:W18" si="24">(J13-M13)/N13</f>
        <v>0</v>
      </c>
      <c r="X13" s="4">
        <f t="shared" ref="X13:X18" si="25">(K13-M13)/N13</f>
        <v>0.0909090909090909</v>
      </c>
    </row>
    <row r="14" ht="15.75" spans="1:24">
      <c r="A14" s="220" t="s">
        <v>18</v>
      </c>
      <c r="B14" s="4">
        <v>39.94</v>
      </c>
      <c r="C14" s="4">
        <v>39.61</v>
      </c>
      <c r="D14">
        <v>39.3</v>
      </c>
      <c r="E14">
        <v>38.89</v>
      </c>
      <c r="F14" s="4">
        <v>38.75</v>
      </c>
      <c r="G14" s="4">
        <v>38.66</v>
      </c>
      <c r="H14" s="4">
        <v>38.67</v>
      </c>
      <c r="I14" s="4">
        <v>38.74</v>
      </c>
      <c r="J14" s="4">
        <v>38.88</v>
      </c>
      <c r="K14" s="4">
        <v>38.79</v>
      </c>
      <c r="L14" s="4">
        <f t="shared" si="13"/>
        <v>39.94</v>
      </c>
      <c r="M14" s="4">
        <f t="shared" si="14"/>
        <v>38.66</v>
      </c>
      <c r="N14" s="4">
        <f t="shared" si="15"/>
        <v>1.28</v>
      </c>
      <c r="O14" s="4">
        <f t="shared" si="16"/>
        <v>1</v>
      </c>
      <c r="P14" s="4">
        <f t="shared" si="17"/>
        <v>0.742187500000002</v>
      </c>
      <c r="Q14" s="4">
        <f t="shared" si="18"/>
        <v>0.5</v>
      </c>
      <c r="R14" s="4">
        <f t="shared" si="19"/>
        <v>0.179687500000003</v>
      </c>
      <c r="S14" s="4">
        <f t="shared" si="20"/>
        <v>0.0703125000000026</v>
      </c>
      <c r="T14" s="4">
        <f t="shared" si="21"/>
        <v>0</v>
      </c>
      <c r="U14" s="4">
        <f t="shared" si="22"/>
        <v>0.00781250000000399</v>
      </c>
      <c r="V14" s="4">
        <f t="shared" si="23"/>
        <v>0.0625000000000042</v>
      </c>
      <c r="W14" s="4">
        <f t="shared" si="24"/>
        <v>0.171875000000004</v>
      </c>
      <c r="X14" s="4">
        <f t="shared" si="25"/>
        <v>0.101562500000002</v>
      </c>
    </row>
    <row r="15" spans="1:24">
      <c r="A15" s="218" t="s">
        <v>19</v>
      </c>
      <c r="B15" s="41">
        <v>0.0382</v>
      </c>
      <c r="C15" s="41">
        <v>0.0364</v>
      </c>
      <c r="D15" s="41">
        <v>0.0328</v>
      </c>
      <c r="E15" s="41">
        <v>0.0355</v>
      </c>
      <c r="F15" s="41">
        <v>0.0335</v>
      </c>
      <c r="G15" s="41">
        <v>0.0316</v>
      </c>
      <c r="H15" s="41">
        <v>0.0304</v>
      </c>
      <c r="I15" s="41">
        <v>0.0295</v>
      </c>
      <c r="J15" s="41">
        <v>0.0261</v>
      </c>
      <c r="K15" s="41">
        <v>0.0224</v>
      </c>
      <c r="L15" s="4">
        <f t="shared" si="13"/>
        <v>0.0382</v>
      </c>
      <c r="M15" s="4">
        <f t="shared" si="14"/>
        <v>0.0224</v>
      </c>
      <c r="N15" s="4">
        <f t="shared" si="15"/>
        <v>0.0158</v>
      </c>
      <c r="O15" s="4">
        <f t="shared" si="16"/>
        <v>1</v>
      </c>
      <c r="P15" s="4">
        <f t="shared" si="17"/>
        <v>0.886075949367089</v>
      </c>
      <c r="Q15" s="4">
        <f t="shared" si="18"/>
        <v>0.658227848101266</v>
      </c>
      <c r="R15" s="4">
        <f t="shared" si="19"/>
        <v>0.829113924050633</v>
      </c>
      <c r="S15" s="4">
        <f t="shared" si="20"/>
        <v>0.70253164556962</v>
      </c>
      <c r="T15" s="4">
        <f t="shared" si="21"/>
        <v>0.582278481012659</v>
      </c>
      <c r="U15" s="4">
        <f t="shared" si="22"/>
        <v>0.506329113924051</v>
      </c>
      <c r="V15" s="4">
        <f t="shared" si="23"/>
        <v>0.449367088607595</v>
      </c>
      <c r="W15" s="4">
        <f t="shared" si="24"/>
        <v>0.234177215189874</v>
      </c>
      <c r="X15" s="4">
        <f t="shared" si="25"/>
        <v>0</v>
      </c>
    </row>
    <row r="16" spans="1:24">
      <c r="A16" s="218" t="s">
        <v>20</v>
      </c>
      <c r="B16" s="4">
        <v>41.87</v>
      </c>
      <c r="C16" s="4">
        <v>41.89</v>
      </c>
      <c r="D16">
        <v>42.89</v>
      </c>
      <c r="E16">
        <v>43.59</v>
      </c>
      <c r="F16" s="4">
        <v>45.12</v>
      </c>
      <c r="G16" s="4">
        <v>45.13</v>
      </c>
      <c r="H16" s="4">
        <v>45.52</v>
      </c>
      <c r="I16" s="4">
        <v>45.65</v>
      </c>
      <c r="J16" s="4">
        <v>44.11</v>
      </c>
      <c r="K16" s="4">
        <v>44.33</v>
      </c>
      <c r="L16" s="4">
        <f t="shared" si="13"/>
        <v>45.65</v>
      </c>
      <c r="M16" s="4">
        <f t="shared" si="14"/>
        <v>41.87</v>
      </c>
      <c r="N16" s="4">
        <f t="shared" si="15"/>
        <v>3.78</v>
      </c>
      <c r="O16" s="4">
        <f t="shared" si="16"/>
        <v>0</v>
      </c>
      <c r="P16" s="4">
        <f t="shared" si="17"/>
        <v>0.00529100529100612</v>
      </c>
      <c r="Q16" s="4">
        <f t="shared" si="18"/>
        <v>0.269841269841271</v>
      </c>
      <c r="R16" s="4">
        <f t="shared" si="19"/>
        <v>0.455026455026456</v>
      </c>
      <c r="S16" s="4">
        <f t="shared" si="20"/>
        <v>0.85978835978836</v>
      </c>
      <c r="T16" s="4">
        <f t="shared" si="21"/>
        <v>0.862433862433864</v>
      </c>
      <c r="U16" s="4">
        <f t="shared" si="22"/>
        <v>0.965608465608467</v>
      </c>
      <c r="V16" s="4">
        <f t="shared" si="23"/>
        <v>1</v>
      </c>
      <c r="W16" s="4">
        <f t="shared" si="24"/>
        <v>0.592592592592593</v>
      </c>
      <c r="X16" s="4">
        <f t="shared" si="25"/>
        <v>0.650793650793651</v>
      </c>
    </row>
    <row r="17" spans="1:24">
      <c r="A17" s="218" t="s">
        <v>21</v>
      </c>
      <c r="B17" s="4">
        <v>7.6</v>
      </c>
      <c r="C17" s="4">
        <v>7.75</v>
      </c>
      <c r="D17">
        <v>8.03</v>
      </c>
      <c r="E17">
        <v>10.24</v>
      </c>
      <c r="F17" s="4">
        <v>10.48</v>
      </c>
      <c r="G17">
        <v>10.23</v>
      </c>
      <c r="H17" s="4">
        <v>10.37</v>
      </c>
      <c r="I17" s="4">
        <v>5.47</v>
      </c>
      <c r="J17" s="4">
        <v>11.5</v>
      </c>
      <c r="K17" s="4">
        <v>7.65</v>
      </c>
      <c r="L17" s="4">
        <f t="shared" si="13"/>
        <v>11.5</v>
      </c>
      <c r="M17" s="4">
        <f t="shared" si="14"/>
        <v>5.47</v>
      </c>
      <c r="N17" s="4">
        <f t="shared" si="15"/>
        <v>6.03</v>
      </c>
      <c r="O17" s="4">
        <f t="shared" si="16"/>
        <v>0.353233830845771</v>
      </c>
      <c r="P17" s="4">
        <f t="shared" si="17"/>
        <v>0.378109452736318</v>
      </c>
      <c r="Q17" s="4">
        <f t="shared" si="18"/>
        <v>0.424543946932007</v>
      </c>
      <c r="R17" s="4">
        <f t="shared" si="19"/>
        <v>0.791044776119403</v>
      </c>
      <c r="S17" s="4">
        <f t="shared" si="20"/>
        <v>0.830845771144279</v>
      </c>
      <c r="T17" s="4">
        <f t="shared" si="21"/>
        <v>0.7893864013267</v>
      </c>
      <c r="U17" s="4">
        <f t="shared" si="22"/>
        <v>0.812603648424544</v>
      </c>
      <c r="V17" s="4">
        <f t="shared" si="23"/>
        <v>0</v>
      </c>
      <c r="W17" s="4">
        <f t="shared" si="24"/>
        <v>1</v>
      </c>
      <c r="X17" s="4">
        <f t="shared" si="25"/>
        <v>0.361525704809287</v>
      </c>
    </row>
    <row r="18" spans="1:24">
      <c r="A18" s="218" t="s">
        <v>22</v>
      </c>
      <c r="B18" s="4">
        <v>88.01</v>
      </c>
      <c r="C18" s="4">
        <v>93.62</v>
      </c>
      <c r="D18">
        <v>94</v>
      </c>
      <c r="E18">
        <v>95.77</v>
      </c>
      <c r="F18" s="4">
        <v>94.35</v>
      </c>
      <c r="G18">
        <v>92.7</v>
      </c>
      <c r="H18" s="4">
        <v>94.55</v>
      </c>
      <c r="I18" s="4">
        <v>100</v>
      </c>
      <c r="J18" s="4">
        <v>100</v>
      </c>
      <c r="K18" s="4">
        <v>100</v>
      </c>
      <c r="L18" s="4">
        <f t="shared" si="13"/>
        <v>100</v>
      </c>
      <c r="M18" s="4">
        <f t="shared" si="14"/>
        <v>88.01</v>
      </c>
      <c r="N18" s="4">
        <f t="shared" si="15"/>
        <v>11.99</v>
      </c>
      <c r="O18" s="4">
        <f t="shared" si="16"/>
        <v>0</v>
      </c>
      <c r="P18" s="4">
        <f t="shared" si="17"/>
        <v>0.467889908256881</v>
      </c>
      <c r="Q18" s="4">
        <f t="shared" si="18"/>
        <v>0.499582985821518</v>
      </c>
      <c r="R18" s="4">
        <f t="shared" si="19"/>
        <v>0.64720600500417</v>
      </c>
      <c r="S18" s="4">
        <f t="shared" si="20"/>
        <v>0.528773978315262</v>
      </c>
      <c r="T18" s="4">
        <f t="shared" si="21"/>
        <v>0.39115929941618</v>
      </c>
      <c r="U18" s="4">
        <f t="shared" si="22"/>
        <v>0.545454545454545</v>
      </c>
      <c r="V18" s="4">
        <f t="shared" si="23"/>
        <v>1</v>
      </c>
      <c r="W18" s="4">
        <f t="shared" si="24"/>
        <v>1</v>
      </c>
      <c r="X18" s="4">
        <f t="shared" si="25"/>
        <v>1</v>
      </c>
    </row>
    <row r="19" spans="1:24">
      <c r="A19" s="218" t="s">
        <v>23</v>
      </c>
      <c r="B19" s="4">
        <v>27380</v>
      </c>
      <c r="C19" s="4">
        <v>21398</v>
      </c>
      <c r="D19">
        <v>18259</v>
      </c>
      <c r="E19">
        <v>21465</v>
      </c>
      <c r="F19" s="4">
        <v>23546</v>
      </c>
      <c r="G19">
        <v>24039</v>
      </c>
      <c r="H19" s="4">
        <v>24038</v>
      </c>
      <c r="I19" s="4">
        <v>25322</v>
      </c>
      <c r="J19" s="4">
        <v>29424</v>
      </c>
      <c r="K19" s="4">
        <v>27823</v>
      </c>
      <c r="L19" s="4">
        <f t="shared" si="13"/>
        <v>29424</v>
      </c>
      <c r="M19" s="4">
        <f t="shared" si="14"/>
        <v>18259</v>
      </c>
      <c r="N19" s="4">
        <f t="shared" si="15"/>
        <v>11165</v>
      </c>
      <c r="O19" s="4">
        <f>(L19-B19)/N19</f>
        <v>0.18307210031348</v>
      </c>
      <c r="P19" s="4">
        <f>(L19-C19)/N19</f>
        <v>0.718853560232871</v>
      </c>
      <c r="Q19" s="4">
        <f>(L19-D19)/N19</f>
        <v>1</v>
      </c>
      <c r="R19" s="4">
        <f>(L19-E19)/N19</f>
        <v>0.712852664576803</v>
      </c>
      <c r="S19" s="4">
        <f>(L19-F19)/N19</f>
        <v>0.526466636811464</v>
      </c>
      <c r="T19" s="4">
        <f>(L19-G19)/N19</f>
        <v>0.48231079265562</v>
      </c>
      <c r="U19" s="4">
        <f>(L19-H19)/N19</f>
        <v>0.482400358262427</v>
      </c>
      <c r="V19" s="4">
        <f>(L19-I19)/N19</f>
        <v>0.367398119122257</v>
      </c>
      <c r="W19" s="4">
        <f>(L19-J19)/N19</f>
        <v>0</v>
      </c>
      <c r="X19" s="4">
        <f>(L19-K19)/N19</f>
        <v>0.143394536497985</v>
      </c>
    </row>
    <row r="20" spans="1:24">
      <c r="A20" s="218" t="s">
        <v>24</v>
      </c>
      <c r="B20" s="4">
        <v>16144</v>
      </c>
      <c r="C20" s="4">
        <v>17028</v>
      </c>
      <c r="D20">
        <v>4033</v>
      </c>
      <c r="E20">
        <v>2525</v>
      </c>
      <c r="F20" s="4">
        <v>847</v>
      </c>
      <c r="G20">
        <v>829</v>
      </c>
      <c r="H20" s="4">
        <v>427</v>
      </c>
      <c r="I20" s="4">
        <v>402</v>
      </c>
      <c r="J20" s="4">
        <v>339</v>
      </c>
      <c r="K20" s="4">
        <v>326</v>
      </c>
      <c r="L20" s="4">
        <f t="shared" si="13"/>
        <v>17028</v>
      </c>
      <c r="M20" s="4">
        <f t="shared" si="14"/>
        <v>326</v>
      </c>
      <c r="N20" s="4">
        <f t="shared" si="15"/>
        <v>16702</v>
      </c>
      <c r="O20" s="4">
        <f>(L20-B20)/N20</f>
        <v>0.0529277930786732</v>
      </c>
      <c r="P20" s="4">
        <f>(L20-C20)/N20</f>
        <v>0</v>
      </c>
      <c r="Q20" s="4">
        <f>(L20-D20)/N20</f>
        <v>0.778050532870315</v>
      </c>
      <c r="R20" s="4">
        <f>(L20-E20)/N20</f>
        <v>0.868339121063346</v>
      </c>
      <c r="S20" s="4">
        <f>(L20-F20)/N20</f>
        <v>0.968806131002275</v>
      </c>
      <c r="T20" s="4">
        <f>(L20-G20)/N20</f>
        <v>0.969883846245959</v>
      </c>
      <c r="U20" s="4">
        <f>(L20-H20)/N20</f>
        <v>0.993952820021554</v>
      </c>
      <c r="V20" s="4">
        <f>(L20-I20)/N20</f>
        <v>0.995449646748892</v>
      </c>
      <c r="W20" s="4">
        <f>(L20-J20)/N20</f>
        <v>0.999221650101784</v>
      </c>
      <c r="X20" s="4">
        <f>(L20-K20)/N20</f>
        <v>1</v>
      </c>
    </row>
    <row r="21" ht="15.75" spans="1:24">
      <c r="A21" s="220" t="s">
        <v>25</v>
      </c>
      <c r="B21" s="4">
        <v>100</v>
      </c>
      <c r="C21" s="4">
        <v>99.69</v>
      </c>
      <c r="D21">
        <v>99.29</v>
      </c>
      <c r="E21">
        <v>98.82</v>
      </c>
      <c r="F21" s="4">
        <v>98.5</v>
      </c>
      <c r="G21" s="4">
        <v>98.28</v>
      </c>
      <c r="H21" s="4">
        <v>98.26</v>
      </c>
      <c r="I21" s="4">
        <v>98.29</v>
      </c>
      <c r="J21" s="4">
        <v>98.4</v>
      </c>
      <c r="K21" s="4">
        <v>98.19</v>
      </c>
      <c r="L21" s="4">
        <f t="shared" si="13"/>
        <v>100</v>
      </c>
      <c r="M21" s="4">
        <f t="shared" si="14"/>
        <v>98.19</v>
      </c>
      <c r="N21" s="4">
        <f t="shared" si="15"/>
        <v>1.81</v>
      </c>
      <c r="O21" s="4">
        <f t="shared" ref="O21:O24" si="26">(B21-M21)/N21</f>
        <v>1</v>
      </c>
      <c r="P21" s="4">
        <f t="shared" ref="P21:P24" si="27">(C21-M21)/N21</f>
        <v>0.828729281767955</v>
      </c>
      <c r="Q21" s="4">
        <f t="shared" ref="Q21:Q24" si="28">(D21-M21)/N21</f>
        <v>0.607734806629838</v>
      </c>
      <c r="R21" s="4">
        <f t="shared" ref="R21:R24" si="29">(E21-M21)/N21</f>
        <v>0.348066298342538</v>
      </c>
      <c r="S21" s="4">
        <f t="shared" ref="S21:S24" si="30">(F21-M21)/N21</f>
        <v>0.171270718232045</v>
      </c>
      <c r="T21" s="4">
        <f t="shared" ref="T21:T24" si="31">(G21-M21)/N21</f>
        <v>0.0497237569060792</v>
      </c>
      <c r="U21" s="4">
        <f t="shared" ref="U21:U24" si="32">(H21-M21)/N21</f>
        <v>0.0386740331491753</v>
      </c>
      <c r="V21" s="4">
        <f t="shared" ref="V21:V24" si="33">(I21-M21)/N21</f>
        <v>0.055248618784535</v>
      </c>
      <c r="W21" s="4">
        <f t="shared" ref="W21:W24" si="34">(J21-M21)/N21</f>
        <v>0.116022099447518</v>
      </c>
      <c r="X21" s="4">
        <f t="shared" ref="X21:X24" si="35">(K21-M21)/N21</f>
        <v>0</v>
      </c>
    </row>
    <row r="22" ht="15.75" spans="1:24">
      <c r="A22" s="220" t="s">
        <v>26</v>
      </c>
      <c r="B22" s="4">
        <v>100</v>
      </c>
      <c r="C22" s="4">
        <v>99.15</v>
      </c>
      <c r="D22">
        <v>98.38</v>
      </c>
      <c r="E22">
        <v>97.42</v>
      </c>
      <c r="F22" s="4">
        <v>96.95</v>
      </c>
      <c r="G22" s="4">
        <v>96.59</v>
      </c>
      <c r="H22" s="4">
        <v>96.34</v>
      </c>
      <c r="I22" s="4">
        <v>96.32</v>
      </c>
      <c r="J22" s="4">
        <v>96.24</v>
      </c>
      <c r="K22" s="4">
        <v>95.96</v>
      </c>
      <c r="L22" s="4">
        <f t="shared" si="13"/>
        <v>100</v>
      </c>
      <c r="M22" s="4">
        <f t="shared" si="14"/>
        <v>95.96</v>
      </c>
      <c r="N22" s="4">
        <f t="shared" si="15"/>
        <v>4.04000000000001</v>
      </c>
      <c r="O22" s="4">
        <f t="shared" si="26"/>
        <v>1</v>
      </c>
      <c r="P22" s="4">
        <f t="shared" si="27"/>
        <v>0.789603960396041</v>
      </c>
      <c r="Q22" s="4">
        <f t="shared" si="28"/>
        <v>0.599009900990099</v>
      </c>
      <c r="R22" s="4">
        <f t="shared" si="29"/>
        <v>0.361386138613863</v>
      </c>
      <c r="S22" s="4">
        <f t="shared" si="30"/>
        <v>0.245049504950497</v>
      </c>
      <c r="T22" s="4">
        <f t="shared" si="31"/>
        <v>0.155940594059408</v>
      </c>
      <c r="U22" s="4">
        <f t="shared" si="32"/>
        <v>0.0940594059405963</v>
      </c>
      <c r="V22" s="4">
        <f t="shared" si="33"/>
        <v>0.0891089108910888</v>
      </c>
      <c r="W22" s="4">
        <f t="shared" si="34"/>
        <v>0.0693069306930695</v>
      </c>
      <c r="X22" s="4">
        <f t="shared" si="35"/>
        <v>0</v>
      </c>
    </row>
    <row r="23" spans="1:24">
      <c r="A23" s="221" t="s">
        <v>27</v>
      </c>
      <c r="B23" s="218">
        <v>0.5851</v>
      </c>
      <c r="C23" s="218">
        <v>0.5853</v>
      </c>
      <c r="D23" s="218">
        <v>0.5886</v>
      </c>
      <c r="E23" s="218">
        <v>0.5645</v>
      </c>
      <c r="F23" s="218">
        <v>0.554</v>
      </c>
      <c r="G23" s="218">
        <v>0.5998</v>
      </c>
      <c r="H23" s="218">
        <v>0.5506</v>
      </c>
      <c r="I23" s="218">
        <v>0.5734</v>
      </c>
      <c r="J23" s="218">
        <v>0.5959</v>
      </c>
      <c r="K23" s="218">
        <v>0.5826</v>
      </c>
      <c r="L23" s="4">
        <f t="shared" si="13"/>
        <v>0.5998</v>
      </c>
      <c r="M23" s="4">
        <f t="shared" si="14"/>
        <v>0.5506</v>
      </c>
      <c r="N23" s="4">
        <f t="shared" si="15"/>
        <v>0.0492</v>
      </c>
      <c r="O23" s="4">
        <f t="shared" si="26"/>
        <v>0.701219512195121</v>
      </c>
      <c r="P23" s="4">
        <f t="shared" si="27"/>
        <v>0.705284552845529</v>
      </c>
      <c r="Q23" s="4">
        <f t="shared" si="28"/>
        <v>0.772357723577236</v>
      </c>
      <c r="R23" s="4">
        <f t="shared" si="29"/>
        <v>0.282520325203252</v>
      </c>
      <c r="S23" s="4">
        <f t="shared" si="30"/>
        <v>0.069105691056912</v>
      </c>
      <c r="T23" s="4">
        <f t="shared" si="31"/>
        <v>1</v>
      </c>
      <c r="U23" s="4">
        <f t="shared" si="32"/>
        <v>0</v>
      </c>
      <c r="V23" s="4">
        <f t="shared" si="33"/>
        <v>0.463414634146342</v>
      </c>
      <c r="W23" s="4">
        <f t="shared" si="34"/>
        <v>0.920731707317073</v>
      </c>
      <c r="X23" s="4">
        <f t="shared" si="35"/>
        <v>0.650406504065041</v>
      </c>
    </row>
    <row r="24" spans="1:24">
      <c r="A24" s="221" t="s">
        <v>28</v>
      </c>
      <c r="B24" s="218">
        <v>1.4403</v>
      </c>
      <c r="C24" s="218">
        <v>1.4182</v>
      </c>
      <c r="D24" s="218">
        <v>1.3322</v>
      </c>
      <c r="E24" s="218">
        <v>1.4438</v>
      </c>
      <c r="F24" s="218">
        <v>1.4933</v>
      </c>
      <c r="G24" s="218">
        <v>1.4966</v>
      </c>
      <c r="H24" s="218">
        <v>1.5041</v>
      </c>
      <c r="I24" s="218">
        <v>1.5096</v>
      </c>
      <c r="J24" s="218">
        <v>1.4467</v>
      </c>
      <c r="K24" s="218">
        <v>1.4599</v>
      </c>
      <c r="L24" s="4">
        <f t="shared" si="13"/>
        <v>1.5096</v>
      </c>
      <c r="M24" s="4">
        <f t="shared" si="14"/>
        <v>1.3322</v>
      </c>
      <c r="N24" s="4">
        <f t="shared" si="15"/>
        <v>0.1774</v>
      </c>
      <c r="O24" s="4">
        <f t="shared" si="26"/>
        <v>0.609357384441938</v>
      </c>
      <c r="P24" s="4">
        <f t="shared" si="27"/>
        <v>0.484780157835399</v>
      </c>
      <c r="Q24" s="4">
        <f t="shared" si="28"/>
        <v>0</v>
      </c>
      <c r="R24" s="4">
        <f t="shared" si="29"/>
        <v>0.629086809470124</v>
      </c>
      <c r="S24" s="4">
        <f t="shared" si="30"/>
        <v>0.908117249154453</v>
      </c>
      <c r="T24" s="4">
        <f t="shared" si="31"/>
        <v>0.926719278466741</v>
      </c>
      <c r="U24" s="4">
        <f t="shared" si="32"/>
        <v>0.968996617812852</v>
      </c>
      <c r="V24" s="4">
        <f t="shared" si="33"/>
        <v>1</v>
      </c>
      <c r="W24" s="4">
        <f t="shared" si="34"/>
        <v>0.64543404735062</v>
      </c>
      <c r="X24" s="4">
        <f t="shared" si="35"/>
        <v>0.719842164599774</v>
      </c>
    </row>
    <row r="25" spans="1:24">
      <c r="L25" s="4"/>
      <c r="M25" s="4"/>
      <c r="N25" s="4"/>
      <c r="O25" s="4"/>
      <c r="P25" s="4"/>
      <c r="Q25" s="4"/>
      <c r="R25" s="4"/>
      <c r="S25" s="4"/>
      <c r="T25" s="4"/>
    </row>
    <row r="26" spans="1:24">
      <c r="L26" s="4"/>
      <c r="M26" s="4"/>
      <c r="N26" s="4"/>
      <c r="O26" s="4">
        <v>2014</v>
      </c>
      <c r="P26" s="4">
        <v>2015</v>
      </c>
      <c r="Q26" s="4">
        <v>2016</v>
      </c>
      <c r="R26" s="4">
        <v>2017</v>
      </c>
      <c r="S26" s="4">
        <v>2018</v>
      </c>
      <c r="T26" s="4">
        <v>2019</v>
      </c>
      <c r="U26" s="4">
        <v>2020</v>
      </c>
      <c r="V26" s="4">
        <v>2021</v>
      </c>
      <c r="W26" s="4">
        <v>2022</v>
      </c>
      <c r="X26" s="4">
        <v>2023</v>
      </c>
    </row>
    <row r="27" spans="1:24">
      <c r="L27" s="4"/>
      <c r="M27" s="4"/>
      <c r="N27" s="4"/>
      <c r="O27" s="4">
        <f t="shared" ref="O27:X27" si="36">ROUND(O2,4)+0.0001</f>
        <v>0.0001</v>
      </c>
      <c r="P27" s="4">
        <f t="shared" si="36"/>
        <v>0.0403</v>
      </c>
      <c r="Q27" s="4">
        <f t="shared" si="36"/>
        <v>0.1067</v>
      </c>
      <c r="R27" s="4">
        <f t="shared" si="36"/>
        <v>0.2251</v>
      </c>
      <c r="S27" s="4">
        <f t="shared" si="36"/>
        <v>0.3168</v>
      </c>
      <c r="T27" s="4">
        <f t="shared" si="36"/>
        <v>0.568</v>
      </c>
      <c r="U27" s="4">
        <f t="shared" si="36"/>
        <v>0.6491</v>
      </c>
      <c r="V27" s="4">
        <f t="shared" si="36"/>
        <v>0.7848</v>
      </c>
      <c r="W27" s="4">
        <f t="shared" si="36"/>
        <v>0.9452</v>
      </c>
      <c r="X27" s="4">
        <f t="shared" si="36"/>
        <v>1.0001</v>
      </c>
    </row>
    <row r="28" spans="1:24">
      <c r="L28" s="4"/>
      <c r="M28" s="4"/>
      <c r="N28" s="4"/>
      <c r="O28" s="4">
        <f t="shared" ref="O28:X28" si="37">ROUND(O3,4)+0.0001</f>
        <v>0.0001</v>
      </c>
      <c r="P28" s="4">
        <f t="shared" si="37"/>
        <v>0.143</v>
      </c>
      <c r="Q28" s="4">
        <f t="shared" si="37"/>
        <v>0.2638</v>
      </c>
      <c r="R28" s="4">
        <f t="shared" si="37"/>
        <v>0.4067</v>
      </c>
      <c r="S28" s="4">
        <f t="shared" si="37"/>
        <v>0.6045</v>
      </c>
      <c r="T28" s="4">
        <f t="shared" si="37"/>
        <v>0.7803</v>
      </c>
      <c r="U28" s="4">
        <f t="shared" si="37"/>
        <v>0.8463</v>
      </c>
      <c r="V28" s="4">
        <f t="shared" si="37"/>
        <v>0.9561</v>
      </c>
      <c r="W28" s="4">
        <f t="shared" si="37"/>
        <v>0.9781</v>
      </c>
      <c r="X28" s="4">
        <f t="shared" si="37"/>
        <v>1.0001</v>
      </c>
    </row>
    <row r="29" spans="1:24">
      <c r="L29" s="4"/>
      <c r="M29" s="4"/>
      <c r="N29" s="4"/>
      <c r="O29" s="4">
        <f t="shared" ref="O29:X29" si="38">ROUND(O4,4)+0.0001</f>
        <v>0.7319</v>
      </c>
      <c r="P29" s="4">
        <f t="shared" si="38"/>
        <v>0.7656</v>
      </c>
      <c r="Q29" s="4">
        <f t="shared" si="38"/>
        <v>0.6933</v>
      </c>
      <c r="R29" s="4">
        <f t="shared" si="38"/>
        <v>0.6256</v>
      </c>
      <c r="S29" s="4">
        <f t="shared" si="38"/>
        <v>0.548</v>
      </c>
      <c r="T29" s="4">
        <f t="shared" si="38"/>
        <v>0.4016</v>
      </c>
      <c r="U29" s="4">
        <f t="shared" si="38"/>
        <v>0.2883</v>
      </c>
      <c r="V29" s="4">
        <f t="shared" si="38"/>
        <v>1.0001</v>
      </c>
      <c r="W29" s="4">
        <f t="shared" si="38"/>
        <v>0.099</v>
      </c>
      <c r="X29" s="4">
        <f t="shared" si="38"/>
        <v>0.0001</v>
      </c>
    </row>
    <row r="30" spans="1:24">
      <c r="L30" s="4"/>
      <c r="M30" s="4"/>
      <c r="N30" s="4"/>
      <c r="O30" s="4">
        <f t="shared" ref="O30:X30" si="39">ROUND(O5,4)+0.0001</f>
        <v>0.0149</v>
      </c>
      <c r="P30" s="4">
        <f t="shared" si="39"/>
        <v>0.0001</v>
      </c>
      <c r="Q30" s="4">
        <f t="shared" si="39"/>
        <v>0.0705</v>
      </c>
      <c r="R30" s="4">
        <f t="shared" si="39"/>
        <v>0.1927</v>
      </c>
      <c r="S30" s="4">
        <f t="shared" si="39"/>
        <v>0.289</v>
      </c>
      <c r="T30" s="4">
        <f t="shared" si="39"/>
        <v>0.5482</v>
      </c>
      <c r="U30" s="4">
        <f t="shared" si="39"/>
        <v>0.6334</v>
      </c>
      <c r="V30" s="4">
        <f t="shared" si="39"/>
        <v>0.7779</v>
      </c>
      <c r="W30" s="4">
        <f t="shared" si="39"/>
        <v>0.9445</v>
      </c>
      <c r="X30" s="4">
        <f t="shared" si="39"/>
        <v>1.0001</v>
      </c>
    </row>
    <row r="31" spans="1:24">
      <c r="L31" s="4"/>
      <c r="M31" s="4"/>
      <c r="N31" s="4"/>
      <c r="O31" s="4">
        <f t="shared" ref="O31:X31" si="40">ROUND(O6,4)+0.0001</f>
        <v>0.4563</v>
      </c>
      <c r="P31" s="4">
        <f t="shared" si="40"/>
        <v>0.5631</v>
      </c>
      <c r="Q31" s="4">
        <f t="shared" si="40"/>
        <v>0.6243</v>
      </c>
      <c r="R31" s="4">
        <f t="shared" si="40"/>
        <v>0.6918</v>
      </c>
      <c r="S31" s="4">
        <f t="shared" si="40"/>
        <v>0.7582</v>
      </c>
      <c r="T31" s="4">
        <f t="shared" si="40"/>
        <v>0.7367</v>
      </c>
      <c r="U31" s="4">
        <f t="shared" si="40"/>
        <v>0.75</v>
      </c>
      <c r="V31" s="4">
        <f t="shared" si="40"/>
        <v>0.0001</v>
      </c>
      <c r="W31" s="4">
        <f t="shared" si="40"/>
        <v>0.9115</v>
      </c>
      <c r="X31" s="4">
        <f t="shared" si="40"/>
        <v>1.0001</v>
      </c>
    </row>
    <row r="32" spans="1:24">
      <c r="L32" s="4"/>
      <c r="M32" s="4"/>
      <c r="N32" s="4"/>
      <c r="O32" s="4">
        <f t="shared" ref="O32:X32" si="41">ROUND(O7,4)+0.0001</f>
        <v>0.0001</v>
      </c>
      <c r="P32" s="4">
        <f t="shared" si="41"/>
        <v>0.1716</v>
      </c>
      <c r="Q32" s="4">
        <f t="shared" si="41"/>
        <v>0.3151</v>
      </c>
      <c r="R32" s="4">
        <f t="shared" si="41"/>
        <v>0.4319</v>
      </c>
      <c r="S32" s="4">
        <f t="shared" si="41"/>
        <v>0.5589</v>
      </c>
      <c r="T32" s="4">
        <f t="shared" si="41"/>
        <v>0.6832</v>
      </c>
      <c r="U32" s="4">
        <f t="shared" si="41"/>
        <v>0.8153</v>
      </c>
      <c r="V32" s="4">
        <f t="shared" si="41"/>
        <v>1.0001</v>
      </c>
      <c r="W32" s="4">
        <f t="shared" si="41"/>
        <v>0.7426</v>
      </c>
      <c r="X32" s="4">
        <f t="shared" si="41"/>
        <v>0.7504</v>
      </c>
    </row>
    <row r="33" spans="12:24">
      <c r="L33" s="4"/>
      <c r="M33" s="4"/>
      <c r="N33" s="4"/>
      <c r="O33" s="4">
        <f t="shared" ref="O33:X33" si="42">ROUND(O8,4)+0.0001</f>
        <v>0.0347</v>
      </c>
      <c r="P33" s="4">
        <f t="shared" si="42"/>
        <v>0.085</v>
      </c>
      <c r="Q33" s="4">
        <f t="shared" si="42"/>
        <v>0.1511</v>
      </c>
      <c r="R33" s="4">
        <f t="shared" si="42"/>
        <v>0.2455</v>
      </c>
      <c r="S33" s="4">
        <f t="shared" si="42"/>
        <v>0.275</v>
      </c>
      <c r="T33" s="4">
        <f t="shared" si="42"/>
        <v>0.7356</v>
      </c>
      <c r="U33" s="4">
        <f t="shared" si="42"/>
        <v>0.7421</v>
      </c>
      <c r="V33" s="4">
        <f t="shared" si="42"/>
        <v>0.0001</v>
      </c>
      <c r="W33" s="4">
        <f t="shared" si="42"/>
        <v>0.9549</v>
      </c>
      <c r="X33" s="4">
        <f t="shared" si="42"/>
        <v>1.0001</v>
      </c>
    </row>
    <row r="34" spans="12:24">
      <c r="L34" s="4"/>
      <c r="M34" s="4"/>
      <c r="N34" s="4"/>
      <c r="O34" s="4">
        <f t="shared" ref="O34:X34" si="43">ROUND(O9,4)+0.0001</f>
        <v>0.0001</v>
      </c>
      <c r="P34" s="4">
        <f t="shared" si="43"/>
        <v>0.079</v>
      </c>
      <c r="Q34" s="4">
        <f t="shared" si="43"/>
        <v>0.2896</v>
      </c>
      <c r="R34" s="4">
        <f t="shared" si="43"/>
        <v>0.4738</v>
      </c>
      <c r="S34" s="4">
        <f t="shared" si="43"/>
        <v>0.5527</v>
      </c>
      <c r="T34" s="4">
        <f t="shared" si="43"/>
        <v>0.7369</v>
      </c>
      <c r="U34" s="4">
        <f t="shared" si="43"/>
        <v>0.7106</v>
      </c>
      <c r="V34" s="4">
        <f t="shared" si="43"/>
        <v>0.8159</v>
      </c>
      <c r="W34" s="4">
        <f t="shared" si="43"/>
        <v>0.8948</v>
      </c>
      <c r="X34" s="4">
        <f t="shared" si="43"/>
        <v>1.0001</v>
      </c>
    </row>
    <row r="35" spans="12:24">
      <c r="L35" s="4"/>
      <c r="M35" s="4"/>
      <c r="N35" s="4"/>
      <c r="O35" s="4">
        <f t="shared" ref="O35:X35" si="44">ROUND(O10,4)+0.0001</f>
        <v>0.8236</v>
      </c>
      <c r="P35" s="4">
        <f t="shared" si="44"/>
        <v>0.9413</v>
      </c>
      <c r="Q35" s="4">
        <f t="shared" si="44"/>
        <v>0.9413</v>
      </c>
      <c r="R35" s="4">
        <f t="shared" si="44"/>
        <v>1.0001</v>
      </c>
      <c r="S35" s="4">
        <f t="shared" si="44"/>
        <v>0.7984</v>
      </c>
      <c r="T35" s="4">
        <f t="shared" si="44"/>
        <v>0.6051</v>
      </c>
      <c r="U35" s="4">
        <f t="shared" si="44"/>
        <v>0.5043</v>
      </c>
      <c r="V35" s="4">
        <f t="shared" si="44"/>
        <v>0.3698</v>
      </c>
      <c r="W35" s="4">
        <f t="shared" si="44"/>
        <v>0.1934</v>
      </c>
      <c r="X35" s="4">
        <f t="shared" si="44"/>
        <v>0.0001</v>
      </c>
    </row>
    <row r="36" spans="12:24">
      <c r="L36" s="4"/>
      <c r="M36" s="4"/>
      <c r="N36" s="4"/>
      <c r="O36" s="4">
        <f t="shared" ref="O36:X36" si="45">ROUND(O11,4)+0.0001</f>
        <v>0.0001</v>
      </c>
      <c r="P36" s="4">
        <f t="shared" si="45"/>
        <v>0.1215</v>
      </c>
      <c r="Q36" s="4">
        <f t="shared" si="45"/>
        <v>0.264</v>
      </c>
      <c r="R36" s="4">
        <f t="shared" si="45"/>
        <v>0.4275</v>
      </c>
      <c r="S36" s="4">
        <f t="shared" si="45"/>
        <v>0.5727</v>
      </c>
      <c r="T36" s="4">
        <f t="shared" si="45"/>
        <v>0.694</v>
      </c>
      <c r="U36" s="4">
        <f t="shared" si="45"/>
        <v>0.7732</v>
      </c>
      <c r="V36" s="4">
        <f t="shared" si="45"/>
        <v>0.8154</v>
      </c>
      <c r="W36" s="4">
        <f t="shared" si="45"/>
        <v>0.8919</v>
      </c>
      <c r="X36" s="4">
        <f t="shared" si="45"/>
        <v>1.0001</v>
      </c>
    </row>
    <row r="37" spans="12:24"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2:24">
      <c r="L38" s="4"/>
      <c r="M38" s="4"/>
      <c r="N38" s="4"/>
      <c r="O38" s="4">
        <f t="shared" ref="O38:X38" si="46">ROUND(O13,4)+0.0001</f>
        <v>1.0001</v>
      </c>
      <c r="P38" s="4">
        <f t="shared" si="46"/>
        <v>1.0001</v>
      </c>
      <c r="Q38" s="4">
        <f t="shared" si="46"/>
        <v>0.7274</v>
      </c>
      <c r="R38" s="4">
        <f t="shared" si="46"/>
        <v>0.5456</v>
      </c>
      <c r="S38" s="4">
        <f t="shared" si="46"/>
        <v>0.2728</v>
      </c>
      <c r="T38" s="4">
        <f t="shared" si="46"/>
        <v>0.1819</v>
      </c>
      <c r="U38" s="4">
        <f t="shared" si="46"/>
        <v>0.091</v>
      </c>
      <c r="V38" s="4">
        <f t="shared" si="46"/>
        <v>0.091</v>
      </c>
      <c r="W38" s="4">
        <f t="shared" si="46"/>
        <v>0.0001</v>
      </c>
      <c r="X38" s="4">
        <f t="shared" si="46"/>
        <v>0.091</v>
      </c>
    </row>
    <row r="39" spans="12:24">
      <c r="L39" s="4"/>
      <c r="M39" s="4"/>
      <c r="N39" s="4"/>
      <c r="O39" s="4">
        <f t="shared" ref="O39:X39" si="47">ROUND(O14,4)+0.0001</f>
        <v>1.0001</v>
      </c>
      <c r="P39" s="4">
        <f t="shared" si="47"/>
        <v>0.7423</v>
      </c>
      <c r="Q39" s="4">
        <f t="shared" si="47"/>
        <v>0.5001</v>
      </c>
      <c r="R39" s="4">
        <f t="shared" si="47"/>
        <v>0.1798</v>
      </c>
      <c r="S39" s="4">
        <f t="shared" si="47"/>
        <v>0.0704</v>
      </c>
      <c r="T39" s="4">
        <f t="shared" si="47"/>
        <v>0.0001</v>
      </c>
      <c r="U39" s="4">
        <f t="shared" si="47"/>
        <v>0.0079</v>
      </c>
      <c r="V39" s="4">
        <f t="shared" si="47"/>
        <v>0.0626</v>
      </c>
      <c r="W39" s="4">
        <f t="shared" si="47"/>
        <v>0.172</v>
      </c>
      <c r="X39" s="4">
        <f t="shared" si="47"/>
        <v>0.1017</v>
      </c>
    </row>
    <row r="40" spans="12:24">
      <c r="L40" s="4"/>
      <c r="M40" s="4"/>
      <c r="N40" s="4"/>
      <c r="O40" s="4">
        <f t="shared" ref="O40:X40" si="48">ROUND(O15,4)+0.0001</f>
        <v>1.0001</v>
      </c>
      <c r="P40" s="4">
        <f t="shared" si="48"/>
        <v>0.8862</v>
      </c>
      <c r="Q40" s="4">
        <f t="shared" si="48"/>
        <v>0.6583</v>
      </c>
      <c r="R40" s="4">
        <f t="shared" si="48"/>
        <v>0.8292</v>
      </c>
      <c r="S40" s="4">
        <f t="shared" si="48"/>
        <v>0.7026</v>
      </c>
      <c r="T40" s="4">
        <f t="shared" si="48"/>
        <v>0.5824</v>
      </c>
      <c r="U40" s="4">
        <f t="shared" si="48"/>
        <v>0.5064</v>
      </c>
      <c r="V40" s="4">
        <f t="shared" si="48"/>
        <v>0.4495</v>
      </c>
      <c r="W40" s="4">
        <f t="shared" si="48"/>
        <v>0.2343</v>
      </c>
      <c r="X40" s="4">
        <f t="shared" si="48"/>
        <v>0.0001</v>
      </c>
    </row>
    <row r="41" spans="12:24">
      <c r="L41" s="4"/>
      <c r="M41" s="4"/>
      <c r="N41" s="4"/>
      <c r="O41" s="4">
        <f t="shared" ref="O41:X41" si="49">ROUND(O16,4)+0.0001</f>
        <v>0.0001</v>
      </c>
      <c r="P41" s="4">
        <f t="shared" si="49"/>
        <v>0.0054</v>
      </c>
      <c r="Q41" s="4">
        <f t="shared" si="49"/>
        <v>0.2699</v>
      </c>
      <c r="R41" s="4">
        <f t="shared" si="49"/>
        <v>0.4551</v>
      </c>
      <c r="S41" s="4">
        <f t="shared" si="49"/>
        <v>0.8599</v>
      </c>
      <c r="T41" s="4">
        <f t="shared" si="49"/>
        <v>0.8625</v>
      </c>
      <c r="U41" s="4">
        <f t="shared" si="49"/>
        <v>0.9657</v>
      </c>
      <c r="V41" s="4">
        <f t="shared" si="49"/>
        <v>1.0001</v>
      </c>
      <c r="W41" s="4">
        <f t="shared" si="49"/>
        <v>0.5927</v>
      </c>
      <c r="X41" s="4">
        <f t="shared" si="49"/>
        <v>0.6509</v>
      </c>
    </row>
    <row r="42" spans="12:24">
      <c r="L42" s="4"/>
      <c r="M42" s="4"/>
      <c r="N42" s="4"/>
      <c r="O42" s="4">
        <f t="shared" ref="O42:X42" si="50">ROUND(O17,4)+0.0001</f>
        <v>0.3533</v>
      </c>
      <c r="P42" s="4">
        <f t="shared" si="50"/>
        <v>0.3782</v>
      </c>
      <c r="Q42" s="4">
        <f t="shared" si="50"/>
        <v>0.4246</v>
      </c>
      <c r="R42" s="4">
        <f t="shared" si="50"/>
        <v>0.7911</v>
      </c>
      <c r="S42" s="4">
        <f t="shared" si="50"/>
        <v>0.8309</v>
      </c>
      <c r="T42" s="4">
        <f t="shared" si="50"/>
        <v>0.7895</v>
      </c>
      <c r="U42" s="4">
        <f t="shared" si="50"/>
        <v>0.8127</v>
      </c>
      <c r="V42" s="4">
        <f t="shared" si="50"/>
        <v>0.0001</v>
      </c>
      <c r="W42" s="4">
        <f t="shared" si="50"/>
        <v>1.0001</v>
      </c>
      <c r="X42" s="4">
        <f t="shared" si="50"/>
        <v>0.3616</v>
      </c>
    </row>
    <row r="43" spans="12:24">
      <c r="L43" s="4"/>
      <c r="M43" s="4"/>
      <c r="N43" s="4"/>
      <c r="O43" s="4">
        <f t="shared" ref="O43:X43" si="51">ROUND(O18,4)+0.0001</f>
        <v>0.0001</v>
      </c>
      <c r="P43" s="4">
        <f t="shared" si="51"/>
        <v>0.468</v>
      </c>
      <c r="Q43" s="4">
        <f t="shared" si="51"/>
        <v>0.4997</v>
      </c>
      <c r="R43" s="4">
        <f t="shared" si="51"/>
        <v>0.6473</v>
      </c>
      <c r="S43" s="4">
        <f t="shared" si="51"/>
        <v>0.5289</v>
      </c>
      <c r="T43" s="4">
        <f t="shared" si="51"/>
        <v>0.3913</v>
      </c>
      <c r="U43" s="4">
        <f t="shared" si="51"/>
        <v>0.5456</v>
      </c>
      <c r="V43" s="4">
        <f t="shared" si="51"/>
        <v>1.0001</v>
      </c>
      <c r="W43" s="4">
        <f t="shared" si="51"/>
        <v>1.0001</v>
      </c>
      <c r="X43" s="4">
        <f t="shared" si="51"/>
        <v>1.0001</v>
      </c>
    </row>
    <row r="44" spans="12:24">
      <c r="L44" s="4"/>
      <c r="M44" s="4"/>
      <c r="N44" s="4"/>
      <c r="O44" s="4">
        <f t="shared" ref="O44:X44" si="52">ROUND(O19,4)+0.0001</f>
        <v>0.1832</v>
      </c>
      <c r="P44" s="4">
        <f t="shared" si="52"/>
        <v>0.719</v>
      </c>
      <c r="Q44" s="4">
        <f t="shared" si="52"/>
        <v>1.0001</v>
      </c>
      <c r="R44" s="4">
        <f t="shared" si="52"/>
        <v>0.713</v>
      </c>
      <c r="S44" s="4">
        <f t="shared" si="52"/>
        <v>0.5266</v>
      </c>
      <c r="T44" s="4">
        <f t="shared" si="52"/>
        <v>0.4824</v>
      </c>
      <c r="U44" s="4">
        <f t="shared" si="52"/>
        <v>0.4825</v>
      </c>
      <c r="V44" s="4">
        <f t="shared" si="52"/>
        <v>0.3675</v>
      </c>
      <c r="W44" s="4">
        <f t="shared" si="52"/>
        <v>0.0001</v>
      </c>
      <c r="X44" s="4">
        <f t="shared" si="52"/>
        <v>0.1435</v>
      </c>
    </row>
    <row r="45" spans="12:24">
      <c r="L45" s="4"/>
      <c r="M45" s="4"/>
      <c r="N45" s="4"/>
      <c r="O45" s="4">
        <f t="shared" ref="O45:X45" si="53">ROUND(O20,4)+0.0001</f>
        <v>0.053</v>
      </c>
      <c r="P45" s="4">
        <f t="shared" si="53"/>
        <v>0.0001</v>
      </c>
      <c r="Q45" s="4">
        <f t="shared" si="53"/>
        <v>0.7782</v>
      </c>
      <c r="R45" s="4">
        <f t="shared" si="53"/>
        <v>0.8684</v>
      </c>
      <c r="S45" s="4">
        <f t="shared" si="53"/>
        <v>0.9689</v>
      </c>
      <c r="T45" s="4">
        <f t="shared" si="53"/>
        <v>0.97</v>
      </c>
      <c r="U45" s="4">
        <f t="shared" si="53"/>
        <v>0.9941</v>
      </c>
      <c r="V45" s="4">
        <f t="shared" si="53"/>
        <v>0.9955</v>
      </c>
      <c r="W45" s="4">
        <f t="shared" si="53"/>
        <v>0.9993</v>
      </c>
      <c r="X45" s="4">
        <f t="shared" si="53"/>
        <v>1.0001</v>
      </c>
    </row>
    <row r="46" spans="12:24">
      <c r="L46" s="4"/>
      <c r="M46" s="4"/>
      <c r="N46" s="4"/>
      <c r="O46" s="4">
        <f t="shared" ref="O46:X46" si="54">ROUND(O21,4)+0.0001</f>
        <v>1.0001</v>
      </c>
      <c r="P46" s="4">
        <f t="shared" si="54"/>
        <v>0.8288</v>
      </c>
      <c r="Q46" s="4">
        <f t="shared" si="54"/>
        <v>0.6078</v>
      </c>
      <c r="R46" s="4">
        <f t="shared" si="54"/>
        <v>0.3482</v>
      </c>
      <c r="S46" s="4">
        <f t="shared" si="54"/>
        <v>0.1714</v>
      </c>
      <c r="T46" s="4">
        <f t="shared" si="54"/>
        <v>0.0498</v>
      </c>
      <c r="U46" s="4">
        <f t="shared" si="54"/>
        <v>0.0388</v>
      </c>
      <c r="V46" s="4">
        <f t="shared" si="54"/>
        <v>0.0553</v>
      </c>
      <c r="W46" s="4">
        <f t="shared" si="54"/>
        <v>0.1161</v>
      </c>
      <c r="X46" s="4">
        <f t="shared" si="54"/>
        <v>0.0001</v>
      </c>
    </row>
    <row r="47" spans="12:24">
      <c r="L47" s="4"/>
      <c r="M47" s="4"/>
      <c r="N47" s="4"/>
      <c r="O47" s="4">
        <f t="shared" ref="O47:X47" si="55">ROUND(O22,4)+0.0001</f>
        <v>1.0001</v>
      </c>
      <c r="P47" s="4">
        <f t="shared" si="55"/>
        <v>0.7897</v>
      </c>
      <c r="Q47" s="4">
        <f t="shared" si="55"/>
        <v>0.5991</v>
      </c>
      <c r="R47" s="4">
        <f t="shared" si="55"/>
        <v>0.3615</v>
      </c>
      <c r="S47" s="4">
        <f t="shared" si="55"/>
        <v>0.2451</v>
      </c>
      <c r="T47" s="4">
        <f t="shared" si="55"/>
        <v>0.156</v>
      </c>
      <c r="U47" s="4">
        <f t="shared" si="55"/>
        <v>0.0942</v>
      </c>
      <c r="V47" s="4">
        <f t="shared" si="55"/>
        <v>0.0892</v>
      </c>
      <c r="W47" s="4">
        <f t="shared" si="55"/>
        <v>0.0694</v>
      </c>
      <c r="X47" s="4">
        <f t="shared" si="55"/>
        <v>0.0001</v>
      </c>
    </row>
    <row r="48" spans="12:24">
      <c r="L48" s="4"/>
      <c r="M48" s="4"/>
      <c r="N48" s="4"/>
      <c r="O48" s="4">
        <f t="shared" ref="O48:X48" si="56">ROUND(O23,4)+0.0001</f>
        <v>0.7013</v>
      </c>
      <c r="P48" s="4">
        <f t="shared" si="56"/>
        <v>0.7054</v>
      </c>
      <c r="Q48" s="4">
        <f t="shared" si="56"/>
        <v>0.7725</v>
      </c>
      <c r="R48" s="4">
        <f t="shared" si="56"/>
        <v>0.2826</v>
      </c>
      <c r="S48" s="4">
        <f t="shared" si="56"/>
        <v>0.0692</v>
      </c>
      <c r="T48" s="4">
        <f t="shared" si="56"/>
        <v>1.0001</v>
      </c>
      <c r="U48" s="4">
        <f t="shared" si="56"/>
        <v>0.0001</v>
      </c>
      <c r="V48" s="4">
        <f t="shared" si="56"/>
        <v>0.4635</v>
      </c>
      <c r="W48" s="4">
        <f t="shared" si="56"/>
        <v>0.9208</v>
      </c>
      <c r="X48" s="4">
        <f t="shared" si="56"/>
        <v>0.6505</v>
      </c>
    </row>
    <row r="49" spans="12:24">
      <c r="L49" s="4"/>
      <c r="M49" s="4"/>
      <c r="N49" s="4"/>
      <c r="O49" s="4">
        <f t="shared" ref="O49:X49" si="57">ROUND(O24,4)+0.0001</f>
        <v>0.6095</v>
      </c>
      <c r="P49" s="4">
        <f t="shared" si="57"/>
        <v>0.4849</v>
      </c>
      <c r="Q49" s="4">
        <f t="shared" si="57"/>
        <v>0.0001</v>
      </c>
      <c r="R49" s="4">
        <f t="shared" si="57"/>
        <v>0.6292</v>
      </c>
      <c r="S49" s="4">
        <f t="shared" si="57"/>
        <v>0.9082</v>
      </c>
      <c r="T49" s="4">
        <f t="shared" si="57"/>
        <v>0.9268</v>
      </c>
      <c r="U49" s="4">
        <f t="shared" si="57"/>
        <v>0.9691</v>
      </c>
      <c r="V49" s="4">
        <f t="shared" si="57"/>
        <v>1.0001</v>
      </c>
      <c r="W49" s="4">
        <f t="shared" si="57"/>
        <v>0.6455</v>
      </c>
      <c r="X49" s="4">
        <f t="shared" si="57"/>
        <v>0.7199</v>
      </c>
    </row>
  </sheetData>
  <pageMargins left="0.7" right="0.7" top="0.75" bottom="0.75" header="0.3" footer="0.3"/>
  <pageSetup paperSize="9" orientation="portrait"/>
  <headerFooter/>
  <ignoredErrors>
    <ignoredError sqref="A1:X14 A15 L15:X15 A16:X22 A23:A2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9"/>
  <sheetViews>
    <sheetView workbookViewId="0">
      <selection activeCell="L23" sqref="L23:X49"/>
    </sheetView>
  </sheetViews>
  <sheetFormatPr defaultColWidth="9" defaultRowHeight="13.5"/>
  <cols>
    <col min="1" max="1" width="31.6283185840708" customWidth="1"/>
  </cols>
  <sheetData>
    <row r="1" spans="1:24">
      <c r="A1" s="218" t="s">
        <v>0</v>
      </c>
      <c r="B1" s="218">
        <v>2014</v>
      </c>
      <c r="C1" s="218">
        <v>2015</v>
      </c>
      <c r="D1" s="218">
        <v>2016</v>
      </c>
      <c r="E1" s="218">
        <v>2017</v>
      </c>
      <c r="F1" s="218">
        <v>2018</v>
      </c>
      <c r="G1" s="218">
        <v>2019</v>
      </c>
      <c r="H1" s="218">
        <v>2020</v>
      </c>
      <c r="I1" s="218">
        <v>2021</v>
      </c>
      <c r="J1" s="4">
        <v>2022</v>
      </c>
      <c r="K1" s="4">
        <v>2023</v>
      </c>
      <c r="L1" s="4" t="s">
        <v>2</v>
      </c>
      <c r="M1" s="219" t="s">
        <v>3</v>
      </c>
      <c r="N1" s="4" t="s">
        <v>4</v>
      </c>
      <c r="O1" s="4">
        <v>2014</v>
      </c>
      <c r="P1" s="4">
        <v>2015</v>
      </c>
      <c r="Q1" s="4">
        <v>2016</v>
      </c>
      <c r="R1" s="4">
        <v>2017</v>
      </c>
      <c r="S1" s="4">
        <v>2018</v>
      </c>
      <c r="T1" s="4">
        <v>2019</v>
      </c>
      <c r="U1" s="4">
        <v>2020</v>
      </c>
      <c r="V1" s="4">
        <v>2021</v>
      </c>
      <c r="W1" s="4">
        <v>2022</v>
      </c>
      <c r="X1" s="4">
        <v>2023</v>
      </c>
    </row>
    <row r="2" ht="15.75" spans="1:24">
      <c r="A2" s="220" t="s">
        <v>5</v>
      </c>
      <c r="B2" s="4">
        <v>5169.16</v>
      </c>
      <c r="C2" s="4">
        <v>5618.08</v>
      </c>
      <c r="D2">
        <v>6197.64</v>
      </c>
      <c r="E2">
        <v>4300.55</v>
      </c>
      <c r="F2" s="4">
        <v>7856.81</v>
      </c>
      <c r="G2" s="4">
        <v>9392</v>
      </c>
      <c r="H2" s="4">
        <v>10020</v>
      </c>
      <c r="I2" s="4">
        <v>11324</v>
      </c>
      <c r="J2" s="4">
        <v>12308</v>
      </c>
      <c r="K2" s="40">
        <v>12928</v>
      </c>
      <c r="L2" s="4">
        <f t="shared" ref="L2:L11" si="0">MAX(B2:K2)</f>
        <v>12928</v>
      </c>
      <c r="M2" s="4">
        <f t="shared" ref="M2:M11" si="1">MIN(B2:K2)</f>
        <v>4300.55</v>
      </c>
      <c r="N2" s="4">
        <f t="shared" ref="N2:N11" si="2">L2-M2</f>
        <v>8627.45</v>
      </c>
      <c r="O2" s="4">
        <f t="shared" ref="O2:O11" si="3">(B2-M2)/N2</f>
        <v>0.100679806895433</v>
      </c>
      <c r="P2" s="4">
        <f t="shared" ref="P2:P11" si="4">(C2-M2)/N2</f>
        <v>0.152713721899287</v>
      </c>
      <c r="Q2" s="4">
        <f t="shared" ref="Q2:Q11" si="5">(D2-M2)/N2</f>
        <v>0.219890002260228</v>
      </c>
      <c r="R2" s="4">
        <f t="shared" ref="R2:R11" si="6">(E2-M2)/N2</f>
        <v>0</v>
      </c>
      <c r="S2" s="4">
        <f t="shared" ref="S2:S11" si="7">(F2-M2)/N2</f>
        <v>0.412202910477603</v>
      </c>
      <c r="T2" s="4">
        <f t="shared" ref="T2:T11" si="8">(G2-M2)/N2</f>
        <v>0.590145407971069</v>
      </c>
      <c r="U2" s="4">
        <f t="shared" ref="U2:U11" si="9">(H2-M2)/N2</f>
        <v>0.662936325333673</v>
      </c>
      <c r="V2" s="4">
        <f t="shared" ref="V2:V11" si="10">(I2-M2)/N2</f>
        <v>0.81408179705475</v>
      </c>
      <c r="W2" s="4">
        <f t="shared" ref="W2:W11" si="11">(J2-M2)/N2</f>
        <v>0.92813635547004</v>
      </c>
      <c r="X2" s="4">
        <f t="shared" ref="X2:X11" si="12">(K2-M2)/N2</f>
        <v>1</v>
      </c>
    </row>
    <row r="3" ht="15.75" spans="1:24">
      <c r="A3" s="220" t="s">
        <v>7</v>
      </c>
      <c r="B3" s="4">
        <v>743</v>
      </c>
      <c r="C3" s="171">
        <v>780</v>
      </c>
      <c r="D3">
        <v>787</v>
      </c>
      <c r="E3">
        <v>806</v>
      </c>
      <c r="F3" s="4">
        <v>817</v>
      </c>
      <c r="G3" s="4">
        <v>824</v>
      </c>
      <c r="H3" s="4">
        <v>832</v>
      </c>
      <c r="I3" s="4">
        <v>842</v>
      </c>
      <c r="J3" s="4">
        <v>845</v>
      </c>
      <c r="K3" s="4">
        <v>847</v>
      </c>
      <c r="L3" s="4">
        <f t="shared" si="0"/>
        <v>847</v>
      </c>
      <c r="M3" s="4">
        <f t="shared" si="1"/>
        <v>743</v>
      </c>
      <c r="N3" s="4">
        <f t="shared" si="2"/>
        <v>104</v>
      </c>
      <c r="O3" s="4">
        <f t="shared" si="3"/>
        <v>0</v>
      </c>
      <c r="P3" s="4">
        <f t="shared" si="4"/>
        <v>0.355769230769231</v>
      </c>
      <c r="Q3" s="4">
        <f t="shared" si="5"/>
        <v>0.423076923076923</v>
      </c>
      <c r="R3" s="4">
        <f t="shared" si="6"/>
        <v>0.605769230769231</v>
      </c>
      <c r="S3" s="4">
        <f t="shared" si="7"/>
        <v>0.711538461538462</v>
      </c>
      <c r="T3" s="4">
        <f t="shared" si="8"/>
        <v>0.778846153846154</v>
      </c>
      <c r="U3" s="4">
        <f t="shared" si="9"/>
        <v>0.855769230769231</v>
      </c>
      <c r="V3" s="4">
        <f t="shared" si="10"/>
        <v>0.951923076923077</v>
      </c>
      <c r="W3" s="4">
        <f t="shared" si="11"/>
        <v>0.980769230769231</v>
      </c>
      <c r="X3" s="4">
        <f t="shared" si="12"/>
        <v>1</v>
      </c>
    </row>
    <row r="4" ht="15.75" spans="1:24">
      <c r="A4" s="220" t="s">
        <v>8</v>
      </c>
      <c r="B4" s="4">
        <v>469.21</v>
      </c>
      <c r="C4" s="4">
        <v>465.21</v>
      </c>
      <c r="D4">
        <v>473.14</v>
      </c>
      <c r="E4">
        <v>486.36</v>
      </c>
      <c r="F4" s="4">
        <v>493.6</v>
      </c>
      <c r="G4" s="4">
        <v>499.21</v>
      </c>
      <c r="H4" s="4">
        <v>501.39</v>
      </c>
      <c r="I4" s="4">
        <v>430.88</v>
      </c>
      <c r="J4" s="4">
        <v>513.2</v>
      </c>
      <c r="K4" s="4">
        <v>517.62</v>
      </c>
      <c r="L4" s="4">
        <f t="shared" si="0"/>
        <v>517.62</v>
      </c>
      <c r="M4" s="4">
        <f t="shared" si="1"/>
        <v>430.88</v>
      </c>
      <c r="N4" s="4">
        <f t="shared" si="2"/>
        <v>86.74</v>
      </c>
      <c r="O4" s="4">
        <f>(L4-B4)/N4</f>
        <v>0.558104680654831</v>
      </c>
      <c r="P4" s="4">
        <f>(L4-C4)/N4</f>
        <v>0.604219506571363</v>
      </c>
      <c r="Q4" s="4">
        <f>(L4-D4)/N4</f>
        <v>0.512796864191838</v>
      </c>
      <c r="R4" s="4">
        <f>(L4-E4)/N4</f>
        <v>0.360387364537699</v>
      </c>
      <c r="S4" s="4">
        <f>(L4-F4)/N4</f>
        <v>0.276919529628775</v>
      </c>
      <c r="T4" s="4">
        <f>(L4-G4)/N4</f>
        <v>0.21224348628084</v>
      </c>
      <c r="U4" s="4">
        <f>(L4-H4)/N4</f>
        <v>0.187110906156329</v>
      </c>
      <c r="V4" s="4">
        <f>(L4-I4)/N4</f>
        <v>1</v>
      </c>
      <c r="W4" s="4">
        <f>(L4-J4)/N4</f>
        <v>0.0509568826377676</v>
      </c>
      <c r="X4" s="4">
        <f>(L4-K4)/N4</f>
        <v>0</v>
      </c>
    </row>
    <row r="5" ht="15.75" spans="1:24">
      <c r="A5" s="220" t="s">
        <v>10</v>
      </c>
      <c r="B5" s="4">
        <v>0.4</v>
      </c>
      <c r="C5" s="4">
        <v>0.44</v>
      </c>
      <c r="D5">
        <v>0.49</v>
      </c>
      <c r="E5">
        <v>0.35</v>
      </c>
      <c r="F5" s="4">
        <v>0.64</v>
      </c>
      <c r="G5" s="4">
        <v>0.77</v>
      </c>
      <c r="H5" s="4">
        <v>0.82</v>
      </c>
      <c r="I5" s="4">
        <v>0.92</v>
      </c>
      <c r="J5" s="4">
        <v>1</v>
      </c>
      <c r="K5" s="4">
        <v>1.05</v>
      </c>
      <c r="L5" s="4">
        <f t="shared" si="0"/>
        <v>1.05</v>
      </c>
      <c r="M5" s="4">
        <f t="shared" si="1"/>
        <v>0.35</v>
      </c>
      <c r="N5" s="4">
        <f t="shared" si="2"/>
        <v>0.7</v>
      </c>
      <c r="O5" s="4">
        <f t="shared" si="3"/>
        <v>0.0714285714285715</v>
      </c>
      <c r="P5" s="4">
        <f t="shared" si="4"/>
        <v>0.128571428571429</v>
      </c>
      <c r="Q5" s="4">
        <f t="shared" si="5"/>
        <v>0.2</v>
      </c>
      <c r="R5" s="4">
        <f t="shared" si="6"/>
        <v>0</v>
      </c>
      <c r="S5" s="4">
        <f t="shared" si="7"/>
        <v>0.414285714285714</v>
      </c>
      <c r="T5" s="4">
        <f t="shared" si="8"/>
        <v>0.6</v>
      </c>
      <c r="U5" s="4">
        <f t="shared" si="9"/>
        <v>0.671428571428571</v>
      </c>
      <c r="V5" s="4">
        <f t="shared" si="10"/>
        <v>0.814285714285714</v>
      </c>
      <c r="W5" s="4">
        <f t="shared" si="11"/>
        <v>0.928571428571428</v>
      </c>
      <c r="X5" s="4">
        <f t="shared" si="12"/>
        <v>1</v>
      </c>
    </row>
    <row r="6" ht="15.75" spans="1:24">
      <c r="A6" s="220" t="s">
        <v>11</v>
      </c>
      <c r="B6" s="4">
        <v>6875.79</v>
      </c>
      <c r="C6" s="4">
        <v>7185.43</v>
      </c>
      <c r="D6">
        <v>7610.06</v>
      </c>
      <c r="E6">
        <v>7868.03</v>
      </c>
      <c r="F6" s="4">
        <v>8327.78</v>
      </c>
      <c r="G6" s="4">
        <v>8107.72</v>
      </c>
      <c r="H6" s="4">
        <v>8120.29</v>
      </c>
      <c r="I6" s="4">
        <v>6978.37</v>
      </c>
      <c r="J6" s="4">
        <v>8266.55</v>
      </c>
      <c r="K6" s="4">
        <v>8902.96</v>
      </c>
      <c r="L6" s="4">
        <f t="shared" si="0"/>
        <v>8902.96</v>
      </c>
      <c r="M6" s="4">
        <f t="shared" si="1"/>
        <v>6875.79</v>
      </c>
      <c r="N6" s="4">
        <f t="shared" si="2"/>
        <v>2027.17</v>
      </c>
      <c r="O6" s="4">
        <f t="shared" si="3"/>
        <v>0</v>
      </c>
      <c r="P6" s="4">
        <f t="shared" si="4"/>
        <v>0.152744959722175</v>
      </c>
      <c r="Q6" s="4">
        <f t="shared" si="5"/>
        <v>0.362214318483403</v>
      </c>
      <c r="R6" s="4">
        <f t="shared" si="6"/>
        <v>0.489470542677723</v>
      </c>
      <c r="S6" s="4">
        <f t="shared" si="7"/>
        <v>0.716264546140679</v>
      </c>
      <c r="T6" s="4">
        <f t="shared" si="8"/>
        <v>0.607709269572853</v>
      </c>
      <c r="U6" s="4">
        <f t="shared" si="9"/>
        <v>0.613910032212395</v>
      </c>
      <c r="V6" s="4">
        <f t="shared" si="10"/>
        <v>0.0506025641658075</v>
      </c>
      <c r="W6" s="4">
        <f t="shared" si="11"/>
        <v>0.686059876576705</v>
      </c>
      <c r="X6" s="4">
        <f t="shared" si="12"/>
        <v>1</v>
      </c>
    </row>
    <row r="7" ht="15.75" spans="1:24">
      <c r="A7" s="220" t="s">
        <v>12</v>
      </c>
      <c r="B7" s="4">
        <v>4388.62</v>
      </c>
      <c r="C7" s="4">
        <v>4853.61</v>
      </c>
      <c r="D7">
        <v>5184.36</v>
      </c>
      <c r="E7">
        <v>5823.39</v>
      </c>
      <c r="F7" s="4">
        <v>6502.33</v>
      </c>
      <c r="G7" s="4">
        <v>7087.54</v>
      </c>
      <c r="H7" s="4">
        <v>7856.66</v>
      </c>
      <c r="I7" s="4">
        <v>8330.27</v>
      </c>
      <c r="J7" s="4">
        <v>8820.47</v>
      </c>
      <c r="K7" s="4">
        <v>9102.72</v>
      </c>
      <c r="L7" s="4">
        <f t="shared" si="0"/>
        <v>9102.72</v>
      </c>
      <c r="M7" s="4">
        <f t="shared" si="1"/>
        <v>4388.62</v>
      </c>
      <c r="N7" s="4">
        <f t="shared" si="2"/>
        <v>4714.1</v>
      </c>
      <c r="O7" s="4">
        <f t="shared" si="3"/>
        <v>0</v>
      </c>
      <c r="P7" s="4">
        <f t="shared" si="4"/>
        <v>0.0986381281686854</v>
      </c>
      <c r="Q7" s="4">
        <f t="shared" si="5"/>
        <v>0.168799983029634</v>
      </c>
      <c r="R7" s="4">
        <f t="shared" si="6"/>
        <v>0.304357141341932</v>
      </c>
      <c r="S7" s="4">
        <f t="shared" si="7"/>
        <v>0.448380390742666</v>
      </c>
      <c r="T7" s="4">
        <f t="shared" si="8"/>
        <v>0.572520735665344</v>
      </c>
      <c r="U7" s="4">
        <f t="shared" si="9"/>
        <v>0.735673829575105</v>
      </c>
      <c r="V7" s="4">
        <f t="shared" si="10"/>
        <v>0.836140514626334</v>
      </c>
      <c r="W7" s="4">
        <f t="shared" si="11"/>
        <v>0.940126429222969</v>
      </c>
      <c r="X7" s="4">
        <f t="shared" si="12"/>
        <v>1</v>
      </c>
    </row>
    <row r="8" ht="15.75" spans="1:24">
      <c r="A8" s="220" t="s">
        <v>13</v>
      </c>
      <c r="B8" s="4">
        <v>41224</v>
      </c>
      <c r="C8" s="4">
        <v>44727.47</v>
      </c>
      <c r="D8">
        <v>47816.29</v>
      </c>
      <c r="E8">
        <v>52033.1</v>
      </c>
      <c r="F8" s="4">
        <v>57117.02</v>
      </c>
      <c r="G8" s="4">
        <v>50957.96</v>
      </c>
      <c r="H8" s="4">
        <v>50788.53</v>
      </c>
      <c r="I8" s="4">
        <v>43646.39</v>
      </c>
      <c r="J8" s="4">
        <v>55378.96</v>
      </c>
      <c r="K8" s="4">
        <v>58604.07</v>
      </c>
      <c r="L8" s="4">
        <f t="shared" si="0"/>
        <v>58604.07</v>
      </c>
      <c r="M8" s="4">
        <f t="shared" si="1"/>
        <v>41224</v>
      </c>
      <c r="N8" s="4">
        <f t="shared" si="2"/>
        <v>17380.07</v>
      </c>
      <c r="O8" s="4">
        <f t="shared" si="3"/>
        <v>0</v>
      </c>
      <c r="P8" s="4">
        <f t="shared" si="4"/>
        <v>0.201579740472852</v>
      </c>
      <c r="Q8" s="4">
        <f t="shared" si="5"/>
        <v>0.379301694412048</v>
      </c>
      <c r="R8" s="4">
        <f t="shared" si="6"/>
        <v>0.621924998000583</v>
      </c>
      <c r="S8" s="4">
        <f t="shared" si="7"/>
        <v>0.914439354962322</v>
      </c>
      <c r="T8" s="4">
        <f t="shared" si="8"/>
        <v>0.560064487657414</v>
      </c>
      <c r="U8" s="4">
        <f t="shared" si="9"/>
        <v>0.550315965355721</v>
      </c>
      <c r="V8" s="4">
        <f t="shared" si="10"/>
        <v>0.139377459354306</v>
      </c>
      <c r="W8" s="4">
        <f t="shared" si="11"/>
        <v>0.81443630549244</v>
      </c>
      <c r="X8" s="4">
        <f t="shared" si="12"/>
        <v>1</v>
      </c>
    </row>
    <row r="9" ht="15.75" spans="1:24">
      <c r="A9" s="220" t="s">
        <v>14</v>
      </c>
      <c r="B9" s="4">
        <v>91.95</v>
      </c>
      <c r="C9" s="4">
        <v>92.26</v>
      </c>
      <c r="D9">
        <v>92.06</v>
      </c>
      <c r="E9">
        <v>98.61</v>
      </c>
      <c r="F9" s="4">
        <v>93.7</v>
      </c>
      <c r="G9" s="4">
        <v>94.39</v>
      </c>
      <c r="H9" s="4">
        <v>94.4</v>
      </c>
      <c r="I9" s="4">
        <v>94.37</v>
      </c>
      <c r="J9" s="4">
        <v>94.45</v>
      </c>
      <c r="K9" s="4">
        <v>94.42</v>
      </c>
      <c r="L9" s="4">
        <f t="shared" si="0"/>
        <v>98.61</v>
      </c>
      <c r="M9" s="4">
        <f t="shared" si="1"/>
        <v>91.95</v>
      </c>
      <c r="N9" s="4">
        <f t="shared" si="2"/>
        <v>6.66</v>
      </c>
      <c r="O9" s="4">
        <f t="shared" si="3"/>
        <v>0</v>
      </c>
      <c r="P9" s="4">
        <f t="shared" si="4"/>
        <v>0.0465465465465469</v>
      </c>
      <c r="Q9" s="4">
        <f t="shared" si="5"/>
        <v>0.0165165165165164</v>
      </c>
      <c r="R9" s="4">
        <f t="shared" si="6"/>
        <v>1</v>
      </c>
      <c r="S9" s="4">
        <f t="shared" si="7"/>
        <v>0.262762762762763</v>
      </c>
      <c r="T9" s="4">
        <f t="shared" si="8"/>
        <v>0.366366366366366</v>
      </c>
      <c r="U9" s="4">
        <f t="shared" si="9"/>
        <v>0.367867867867868</v>
      </c>
      <c r="V9" s="4">
        <f t="shared" si="10"/>
        <v>0.363363363363364</v>
      </c>
      <c r="W9" s="4">
        <f t="shared" si="11"/>
        <v>0.375375375375376</v>
      </c>
      <c r="X9" s="4">
        <f t="shared" si="12"/>
        <v>0.370870870870871</v>
      </c>
    </row>
    <row r="10" ht="15.75" spans="1:24">
      <c r="A10" s="220" t="s">
        <v>15</v>
      </c>
      <c r="B10" s="4">
        <v>18.31</v>
      </c>
      <c r="C10" s="4">
        <v>18.84</v>
      </c>
      <c r="D10">
        <v>18.87</v>
      </c>
      <c r="E10">
        <v>18.98</v>
      </c>
      <c r="F10" s="4">
        <v>18.96</v>
      </c>
      <c r="G10" s="4">
        <v>19.16</v>
      </c>
      <c r="H10" s="4">
        <v>19.45</v>
      </c>
      <c r="I10" s="4">
        <v>19.46</v>
      </c>
      <c r="J10" s="4">
        <v>19.49</v>
      </c>
      <c r="K10" s="4">
        <v>19.25</v>
      </c>
      <c r="L10" s="4">
        <f t="shared" si="0"/>
        <v>19.49</v>
      </c>
      <c r="M10" s="4">
        <f t="shared" si="1"/>
        <v>18.31</v>
      </c>
      <c r="N10" s="4">
        <f t="shared" si="2"/>
        <v>1.18</v>
      </c>
      <c r="O10" s="4">
        <f t="shared" si="3"/>
        <v>0</v>
      </c>
      <c r="P10" s="4">
        <f t="shared" si="4"/>
        <v>0.449152542372882</v>
      </c>
      <c r="Q10" s="4">
        <f t="shared" si="5"/>
        <v>0.474576271186443</v>
      </c>
      <c r="R10" s="4">
        <f t="shared" si="6"/>
        <v>0.567796610169493</v>
      </c>
      <c r="S10" s="4">
        <f t="shared" si="7"/>
        <v>0.550847457627121</v>
      </c>
      <c r="T10" s="4">
        <f t="shared" si="8"/>
        <v>0.720338983050849</v>
      </c>
      <c r="U10" s="4">
        <f t="shared" si="9"/>
        <v>0.966101694915255</v>
      </c>
      <c r="V10" s="4">
        <f t="shared" si="10"/>
        <v>0.974576271186443</v>
      </c>
      <c r="W10" s="4">
        <f t="shared" si="11"/>
        <v>1</v>
      </c>
      <c r="X10" s="4">
        <f t="shared" si="12"/>
        <v>0.796610169491527</v>
      </c>
    </row>
    <row r="11" ht="15.75" spans="1:24">
      <c r="A11" s="220" t="s">
        <v>16</v>
      </c>
      <c r="B11" s="4">
        <v>6.52</v>
      </c>
      <c r="C11" s="4">
        <v>6.65</v>
      </c>
      <c r="D11">
        <v>6.83</v>
      </c>
      <c r="E11">
        <v>7.03</v>
      </c>
      <c r="F11" s="4">
        <v>7.23</v>
      </c>
      <c r="G11" s="4">
        <v>7.39</v>
      </c>
      <c r="H11" s="4">
        <v>7.51</v>
      </c>
      <c r="I11" s="4">
        <v>7.55</v>
      </c>
      <c r="J11" s="4">
        <v>7.69</v>
      </c>
      <c r="K11" s="4">
        <v>7.81</v>
      </c>
      <c r="L11" s="4">
        <f t="shared" si="0"/>
        <v>7.81</v>
      </c>
      <c r="M11" s="4">
        <f t="shared" si="1"/>
        <v>6.52</v>
      </c>
      <c r="N11" s="4">
        <f t="shared" si="2"/>
        <v>1.29</v>
      </c>
      <c r="O11" s="4">
        <f t="shared" si="3"/>
        <v>0</v>
      </c>
      <c r="P11" s="4">
        <f t="shared" si="4"/>
        <v>0.10077519379845</v>
      </c>
      <c r="Q11" s="4">
        <f t="shared" si="5"/>
        <v>0.24031007751938</v>
      </c>
      <c r="R11" s="4">
        <f t="shared" si="6"/>
        <v>0.395348837209303</v>
      </c>
      <c r="S11" s="4">
        <f t="shared" si="7"/>
        <v>0.550387596899225</v>
      </c>
      <c r="T11" s="4">
        <f t="shared" si="8"/>
        <v>0.674418604651163</v>
      </c>
      <c r="U11" s="4">
        <f t="shared" si="9"/>
        <v>0.767441860465116</v>
      </c>
      <c r="V11" s="4">
        <f t="shared" si="10"/>
        <v>0.798449612403101</v>
      </c>
      <c r="W11" s="4">
        <f t="shared" si="11"/>
        <v>0.906976744186047</v>
      </c>
      <c r="X11" s="4">
        <f t="shared" si="12"/>
        <v>1</v>
      </c>
    </row>
    <row r="12" spans="1:24">
      <c r="A12" s="218"/>
      <c r="B12" s="4"/>
      <c r="C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A13" s="218" t="s">
        <v>17</v>
      </c>
      <c r="B13" s="4">
        <v>0.04</v>
      </c>
      <c r="C13" s="4">
        <v>0.04</v>
      </c>
      <c r="D13">
        <v>0.03</v>
      </c>
      <c r="E13">
        <v>0.03</v>
      </c>
      <c r="F13" s="4">
        <v>0.02</v>
      </c>
      <c r="G13" s="4">
        <v>0.02</v>
      </c>
      <c r="H13" s="4">
        <v>0.02</v>
      </c>
      <c r="I13" s="4">
        <v>0.02</v>
      </c>
      <c r="J13" s="4">
        <v>0.01</v>
      </c>
      <c r="K13" s="4">
        <v>0.01</v>
      </c>
      <c r="L13" s="4">
        <f t="shared" ref="L13:L24" si="13">MAX(B13:K13)</f>
        <v>0.04</v>
      </c>
      <c r="M13" s="4">
        <f t="shared" ref="M13:M24" si="14">MIN(B13:K13)</f>
        <v>0.01</v>
      </c>
      <c r="N13" s="4">
        <f t="shared" ref="N13:N24" si="15">L13-M13</f>
        <v>0.03</v>
      </c>
      <c r="O13" s="4">
        <f t="shared" ref="O13:O18" si="16">(B13-M13)/N13</f>
        <v>1</v>
      </c>
      <c r="P13" s="4">
        <f t="shared" ref="P13:P18" si="17">(C13-M13)/N13</f>
        <v>1</v>
      </c>
      <c r="Q13" s="4">
        <f t="shared" ref="Q13:Q18" si="18">(D13-M13)/N13</f>
        <v>0.666666666666667</v>
      </c>
      <c r="R13" s="4">
        <f t="shared" ref="R13:R18" si="19">(E13-M13)/N13</f>
        <v>0.666666666666667</v>
      </c>
      <c r="S13" s="4">
        <f t="shared" ref="S13:S18" si="20">(F13-M13)/N13</f>
        <v>0.333333333333333</v>
      </c>
      <c r="T13" s="4">
        <f t="shared" ref="T13:T18" si="21">(G13-M13)/N13</f>
        <v>0.333333333333333</v>
      </c>
      <c r="U13" s="4">
        <f t="shared" ref="U13:U18" si="22">(H13-M13)/N13</f>
        <v>0.333333333333333</v>
      </c>
      <c r="V13" s="4">
        <f t="shared" ref="V13:V18" si="23">(I13-M13)/N13</f>
        <v>0.333333333333333</v>
      </c>
      <c r="W13" s="4">
        <f t="shared" ref="W13:W18" si="24">(J13-M13)/N13</f>
        <v>0</v>
      </c>
      <c r="X13" s="4">
        <f t="shared" ref="X13:X18" si="25">(K13-M13)/N13</f>
        <v>0</v>
      </c>
    </row>
    <row r="14" ht="15.75" spans="1:24">
      <c r="A14" s="220" t="s">
        <v>18</v>
      </c>
      <c r="B14" s="4">
        <v>72.12</v>
      </c>
      <c r="C14" s="4">
        <v>71.53</v>
      </c>
      <c r="D14">
        <v>71.4</v>
      </c>
      <c r="E14">
        <v>71.19</v>
      </c>
      <c r="F14" s="4">
        <v>71.15</v>
      </c>
      <c r="G14" s="4">
        <v>70.88</v>
      </c>
      <c r="H14" s="4">
        <v>70.53</v>
      </c>
      <c r="I14" s="4">
        <v>70.5</v>
      </c>
      <c r="J14" s="4">
        <v>70.44</v>
      </c>
      <c r="K14" s="4">
        <v>70.63</v>
      </c>
      <c r="L14" s="4">
        <f t="shared" si="13"/>
        <v>72.12</v>
      </c>
      <c r="M14" s="4">
        <f t="shared" si="14"/>
        <v>70.44</v>
      </c>
      <c r="N14" s="4">
        <f t="shared" si="15"/>
        <v>1.68000000000001</v>
      </c>
      <c r="O14" s="4">
        <f t="shared" si="16"/>
        <v>1</v>
      </c>
      <c r="P14" s="4">
        <f t="shared" si="17"/>
        <v>0.648809523809523</v>
      </c>
      <c r="Q14" s="4">
        <f t="shared" si="18"/>
        <v>0.571428571428574</v>
      </c>
      <c r="R14" s="4">
        <f t="shared" si="19"/>
        <v>0.44642857142857</v>
      </c>
      <c r="S14" s="4">
        <f t="shared" si="20"/>
        <v>0.422619047619051</v>
      </c>
      <c r="T14" s="4">
        <f t="shared" si="21"/>
        <v>0.261904761904759</v>
      </c>
      <c r="U14" s="4">
        <f t="shared" si="22"/>
        <v>0.0535714285714304</v>
      </c>
      <c r="V14" s="4">
        <f t="shared" si="23"/>
        <v>0.0357142857142869</v>
      </c>
      <c r="W14" s="4">
        <f t="shared" si="24"/>
        <v>0</v>
      </c>
      <c r="X14" s="4">
        <f t="shared" si="25"/>
        <v>0.113095238095236</v>
      </c>
    </row>
    <row r="15" spans="1:24">
      <c r="A15" s="218" t="s">
        <v>19</v>
      </c>
      <c r="B15" s="41">
        <v>0.0412</v>
      </c>
      <c r="C15" s="41">
        <v>0.0416</v>
      </c>
      <c r="D15" s="41">
        <v>0.042</v>
      </c>
      <c r="E15" s="41">
        <v>0.0415</v>
      </c>
      <c r="F15" s="41">
        <v>0.0418</v>
      </c>
      <c r="G15" s="41">
        <v>0.0411</v>
      </c>
      <c r="H15" s="41">
        <v>0.0408</v>
      </c>
      <c r="I15" s="41">
        <v>0.0397</v>
      </c>
      <c r="J15" s="41">
        <v>0.0401</v>
      </c>
      <c r="K15" s="41">
        <v>0.04</v>
      </c>
      <c r="L15" s="4">
        <f t="shared" si="13"/>
        <v>0.042</v>
      </c>
      <c r="M15" s="4">
        <f t="shared" si="14"/>
        <v>0.0397</v>
      </c>
      <c r="N15" s="4">
        <f t="shared" si="15"/>
        <v>0.0023</v>
      </c>
      <c r="O15" s="4">
        <f t="shared" si="16"/>
        <v>0.652173913043478</v>
      </c>
      <c r="P15" s="4">
        <f t="shared" si="17"/>
        <v>0.826086956521737</v>
      </c>
      <c r="Q15" s="4">
        <f t="shared" si="18"/>
        <v>1</v>
      </c>
      <c r="R15" s="4">
        <f t="shared" si="19"/>
        <v>0.782608695652174</v>
      </c>
      <c r="S15" s="4">
        <f t="shared" si="20"/>
        <v>0.913043478260867</v>
      </c>
      <c r="T15" s="4">
        <f t="shared" si="21"/>
        <v>0.608695652173911</v>
      </c>
      <c r="U15" s="4">
        <f t="shared" si="22"/>
        <v>0.478260869565218</v>
      </c>
      <c r="V15" s="4">
        <f t="shared" si="23"/>
        <v>0</v>
      </c>
      <c r="W15" s="4">
        <f t="shared" si="24"/>
        <v>0.17391304347826</v>
      </c>
      <c r="X15" s="4">
        <f t="shared" si="25"/>
        <v>0.130434782608696</v>
      </c>
    </row>
    <row r="16" spans="1:24">
      <c r="A16" s="218" t="s">
        <v>20</v>
      </c>
      <c r="B16" s="4">
        <v>42.89</v>
      </c>
      <c r="C16" s="4">
        <v>43.42</v>
      </c>
      <c r="D16">
        <v>43.92</v>
      </c>
      <c r="E16">
        <v>44.36</v>
      </c>
      <c r="F16" s="4">
        <v>44.93</v>
      </c>
      <c r="G16" s="4">
        <v>45.39</v>
      </c>
      <c r="H16" s="4">
        <v>45.4</v>
      </c>
      <c r="I16" s="4">
        <v>43.09</v>
      </c>
      <c r="J16" s="4">
        <v>43.1</v>
      </c>
      <c r="K16" s="4">
        <v>43.54</v>
      </c>
      <c r="L16" s="4">
        <f t="shared" si="13"/>
        <v>45.4</v>
      </c>
      <c r="M16" s="4">
        <f t="shared" si="14"/>
        <v>42.89</v>
      </c>
      <c r="N16" s="4">
        <f t="shared" si="15"/>
        <v>2.51</v>
      </c>
      <c r="O16" s="4">
        <f t="shared" si="16"/>
        <v>0</v>
      </c>
      <c r="P16" s="4">
        <f t="shared" si="17"/>
        <v>0.211155378486056</v>
      </c>
      <c r="Q16" s="4">
        <f t="shared" si="18"/>
        <v>0.410358565737053</v>
      </c>
      <c r="R16" s="4">
        <f t="shared" si="19"/>
        <v>0.585657370517928</v>
      </c>
      <c r="S16" s="4">
        <f t="shared" si="20"/>
        <v>0.812749003984064</v>
      </c>
      <c r="T16" s="4">
        <f t="shared" si="21"/>
        <v>0.996015936254981</v>
      </c>
      <c r="U16" s="4">
        <f t="shared" si="22"/>
        <v>1</v>
      </c>
      <c r="V16" s="4">
        <f t="shared" si="23"/>
        <v>0.0796812749003996</v>
      </c>
      <c r="W16" s="4">
        <f t="shared" si="24"/>
        <v>0.0836653386454187</v>
      </c>
      <c r="X16" s="4">
        <f t="shared" si="25"/>
        <v>0.258964143426294</v>
      </c>
    </row>
    <row r="17" spans="1:24">
      <c r="A17" s="218" t="s">
        <v>21</v>
      </c>
      <c r="B17" s="4">
        <v>4.11</v>
      </c>
      <c r="C17" s="4">
        <v>4.19</v>
      </c>
      <c r="D17">
        <v>4.45</v>
      </c>
      <c r="E17">
        <v>5.2</v>
      </c>
      <c r="F17" s="4">
        <v>5.58</v>
      </c>
      <c r="G17">
        <v>5.83</v>
      </c>
      <c r="H17" s="4">
        <v>6.33</v>
      </c>
      <c r="I17" s="4">
        <v>5.44</v>
      </c>
      <c r="J17" s="4">
        <v>7.01</v>
      </c>
      <c r="K17" s="4">
        <v>4.37</v>
      </c>
      <c r="L17" s="4">
        <f t="shared" si="13"/>
        <v>7.01</v>
      </c>
      <c r="M17" s="4">
        <f t="shared" si="14"/>
        <v>4.11</v>
      </c>
      <c r="N17" s="4">
        <f t="shared" si="15"/>
        <v>2.9</v>
      </c>
      <c r="O17" s="4">
        <f t="shared" si="16"/>
        <v>0</v>
      </c>
      <c r="P17" s="4">
        <f t="shared" si="17"/>
        <v>0.0275862068965518</v>
      </c>
      <c r="Q17" s="4">
        <f t="shared" si="18"/>
        <v>0.117241379310345</v>
      </c>
      <c r="R17" s="4">
        <f t="shared" si="19"/>
        <v>0.375862068965517</v>
      </c>
      <c r="S17" s="4">
        <f t="shared" si="20"/>
        <v>0.506896551724138</v>
      </c>
      <c r="T17" s="4">
        <f t="shared" si="21"/>
        <v>0.593103448275862</v>
      </c>
      <c r="U17" s="4">
        <f t="shared" si="22"/>
        <v>0.76551724137931</v>
      </c>
      <c r="V17" s="4">
        <f t="shared" si="23"/>
        <v>0.458620689655172</v>
      </c>
      <c r="W17" s="4">
        <f t="shared" si="24"/>
        <v>1</v>
      </c>
      <c r="X17" s="4">
        <f t="shared" si="25"/>
        <v>0.089655172413793</v>
      </c>
    </row>
    <row r="18" spans="1:24">
      <c r="A18" s="218" t="s">
        <v>22</v>
      </c>
      <c r="B18" s="4">
        <v>93.6</v>
      </c>
      <c r="C18" s="4">
        <v>88.2</v>
      </c>
      <c r="D18">
        <v>93.21</v>
      </c>
      <c r="E18">
        <v>82.74</v>
      </c>
      <c r="F18" s="4">
        <v>91.81</v>
      </c>
      <c r="G18">
        <v>94.66</v>
      </c>
      <c r="H18" s="4">
        <v>95.28</v>
      </c>
      <c r="I18" s="4">
        <v>96.82</v>
      </c>
      <c r="J18" s="4">
        <v>97.98</v>
      </c>
      <c r="K18" s="4">
        <v>96.3</v>
      </c>
      <c r="L18" s="4">
        <f t="shared" si="13"/>
        <v>97.98</v>
      </c>
      <c r="M18" s="4">
        <f t="shared" si="14"/>
        <v>82.74</v>
      </c>
      <c r="N18" s="4">
        <f t="shared" si="15"/>
        <v>15.24</v>
      </c>
      <c r="O18" s="4">
        <f t="shared" si="16"/>
        <v>0.71259842519685</v>
      </c>
      <c r="P18" s="4">
        <f t="shared" si="17"/>
        <v>0.358267716535433</v>
      </c>
      <c r="Q18" s="4">
        <f t="shared" si="18"/>
        <v>0.687007874015748</v>
      </c>
      <c r="R18" s="4">
        <f t="shared" si="19"/>
        <v>0</v>
      </c>
      <c r="S18" s="4">
        <f t="shared" si="20"/>
        <v>0.595144356955381</v>
      </c>
      <c r="T18" s="4">
        <f t="shared" si="21"/>
        <v>0.782152230971128</v>
      </c>
      <c r="U18" s="4">
        <f t="shared" si="22"/>
        <v>0.822834645669291</v>
      </c>
      <c r="V18" s="4">
        <f t="shared" si="23"/>
        <v>0.923884514435695</v>
      </c>
      <c r="W18" s="4">
        <f t="shared" si="24"/>
        <v>1</v>
      </c>
      <c r="X18" s="4">
        <f t="shared" si="25"/>
        <v>0.889763779527559</v>
      </c>
    </row>
    <row r="19" spans="1:24">
      <c r="A19" s="218" t="s">
        <v>23</v>
      </c>
      <c r="B19" s="4">
        <v>4681</v>
      </c>
      <c r="C19" s="4">
        <v>4439</v>
      </c>
      <c r="D19">
        <v>3696</v>
      </c>
      <c r="E19">
        <v>4390</v>
      </c>
      <c r="F19" s="4">
        <v>4710</v>
      </c>
      <c r="G19">
        <v>6255</v>
      </c>
      <c r="H19" s="4">
        <v>6254</v>
      </c>
      <c r="I19" s="4">
        <v>5217</v>
      </c>
      <c r="J19" s="4">
        <v>6223</v>
      </c>
      <c r="K19" s="4">
        <v>7220</v>
      </c>
      <c r="L19" s="4">
        <f t="shared" si="13"/>
        <v>7220</v>
      </c>
      <c r="M19" s="4">
        <f t="shared" si="14"/>
        <v>3696</v>
      </c>
      <c r="N19" s="4">
        <f t="shared" si="15"/>
        <v>3524</v>
      </c>
      <c r="O19" s="4">
        <f>(L19-B19)/N19</f>
        <v>0.720488081725312</v>
      </c>
      <c r="P19" s="4">
        <f>(L19-C19)/N19</f>
        <v>0.789160045402951</v>
      </c>
      <c r="Q19" s="4">
        <f>(L19-D19)/N19</f>
        <v>1</v>
      </c>
      <c r="R19" s="4">
        <f>(L19-E19)/N19</f>
        <v>0.803064699205448</v>
      </c>
      <c r="S19" s="4">
        <f>(L19-F19)/N19</f>
        <v>0.712258796821793</v>
      </c>
      <c r="T19" s="4">
        <f>(L19-G19)/N19</f>
        <v>0.273836549375709</v>
      </c>
      <c r="U19" s="4">
        <f>(L19-H19)/N19</f>
        <v>0.274120317820658</v>
      </c>
      <c r="V19" s="4">
        <f>(L19-I19)/N19</f>
        <v>0.56838819523269</v>
      </c>
      <c r="W19" s="4">
        <f>(L19-J19)/N19</f>
        <v>0.282917139614075</v>
      </c>
      <c r="X19" s="4">
        <f>(L19-K19)/N19</f>
        <v>0</v>
      </c>
    </row>
    <row r="20" spans="1:24">
      <c r="A20" s="218" t="s">
        <v>24</v>
      </c>
      <c r="B20" s="4">
        <v>56385</v>
      </c>
      <c r="C20" s="4">
        <v>55370</v>
      </c>
      <c r="D20">
        <v>39196</v>
      </c>
      <c r="E20">
        <v>34137</v>
      </c>
      <c r="F20" s="4">
        <v>32441</v>
      </c>
      <c r="G20">
        <v>35854</v>
      </c>
      <c r="H20" s="4">
        <v>13237</v>
      </c>
      <c r="I20" s="4">
        <v>12635</v>
      </c>
      <c r="J20" s="4">
        <v>11231</v>
      </c>
      <c r="K20" s="4">
        <v>12248</v>
      </c>
      <c r="L20" s="4">
        <f t="shared" si="13"/>
        <v>56385</v>
      </c>
      <c r="M20" s="4">
        <f t="shared" si="14"/>
        <v>11231</v>
      </c>
      <c r="N20" s="4">
        <f t="shared" si="15"/>
        <v>45154</v>
      </c>
      <c r="O20" s="4">
        <f>(L20-B20)/N20</f>
        <v>0</v>
      </c>
      <c r="P20" s="4">
        <f>(L20-C20)/N20</f>
        <v>0.0224786286929176</v>
      </c>
      <c r="Q20" s="4">
        <f>(L20-D20)/N20</f>
        <v>0.380675023253754</v>
      </c>
      <c r="R20" s="4">
        <f>(L20-E20)/N20</f>
        <v>0.492713823802985</v>
      </c>
      <c r="S20" s="4">
        <f>(L20-F20)/N20</f>
        <v>0.530274172830757</v>
      </c>
      <c r="T20" s="4">
        <f>(L20-G20)/N20</f>
        <v>0.454688399698809</v>
      </c>
      <c r="U20" s="4">
        <f>(L20-H20)/N20</f>
        <v>0.955574256987199</v>
      </c>
      <c r="V20" s="4">
        <f>(L20-I20)/N20</f>
        <v>0.968906409177481</v>
      </c>
      <c r="W20" s="4">
        <f>(L20-J20)/N20</f>
        <v>1</v>
      </c>
      <c r="X20" s="4">
        <f>(L20-K20)/N20</f>
        <v>0.977477078442663</v>
      </c>
    </row>
    <row r="21" ht="15.75" spans="1:24">
      <c r="A21" s="220" t="s">
        <v>25</v>
      </c>
      <c r="B21" s="4">
        <v>100</v>
      </c>
      <c r="C21" s="4">
        <v>99.63</v>
      </c>
      <c r="D21">
        <v>99.52</v>
      </c>
      <c r="E21">
        <v>99.37</v>
      </c>
      <c r="F21" s="4">
        <v>99.33</v>
      </c>
      <c r="G21" s="4">
        <v>99.16</v>
      </c>
      <c r="H21" s="4">
        <v>98.93</v>
      </c>
      <c r="I21" s="4">
        <v>98.91</v>
      </c>
      <c r="J21" s="4">
        <v>98.87</v>
      </c>
      <c r="K21" s="4">
        <v>98.98</v>
      </c>
      <c r="L21" s="4">
        <f t="shared" si="13"/>
        <v>100</v>
      </c>
      <c r="M21" s="4">
        <f t="shared" si="14"/>
        <v>98.87</v>
      </c>
      <c r="N21" s="4">
        <f t="shared" si="15"/>
        <v>1.13</v>
      </c>
      <c r="O21" s="4">
        <f t="shared" ref="O21:O24" si="26">(B21-M21)/N21</f>
        <v>1</v>
      </c>
      <c r="P21" s="4">
        <f t="shared" ref="P21:P24" si="27">(C21-M21)/N21</f>
        <v>0.672566371681411</v>
      </c>
      <c r="Q21" s="4">
        <f t="shared" ref="Q21:Q24" si="28">(D21-M21)/N21</f>
        <v>0.575221238938048</v>
      </c>
      <c r="R21" s="4">
        <f t="shared" ref="R21:R24" si="29">(E21-M21)/N21</f>
        <v>0.442477876106196</v>
      </c>
      <c r="S21" s="4">
        <f t="shared" ref="S21:S24" si="30">(F21-M21)/N21</f>
        <v>0.407079646017695</v>
      </c>
      <c r="T21" s="4">
        <f t="shared" ref="T21:T24" si="31">(G21-M21)/N21</f>
        <v>0.256637168141587</v>
      </c>
      <c r="U21" s="4">
        <f t="shared" ref="U21:U24" si="32">(H21-M21)/N21</f>
        <v>0.0530973451327456</v>
      </c>
      <c r="V21" s="4">
        <f t="shared" ref="V21:V24" si="33">(I21-M21)/N21</f>
        <v>0.0353982300884887</v>
      </c>
      <c r="W21" s="4">
        <f t="shared" ref="W21:W24" si="34">(J21-M21)/N21</f>
        <v>0</v>
      </c>
      <c r="X21" s="4">
        <f t="shared" ref="X21:X24" si="35">(K21-M21)/N21</f>
        <v>0.0973451327433627</v>
      </c>
    </row>
    <row r="22" ht="15.75" spans="1:24">
      <c r="A22" s="220" t="s">
        <v>26</v>
      </c>
      <c r="B22" s="4">
        <v>100</v>
      </c>
      <c r="C22" s="4">
        <v>99.43</v>
      </c>
      <c r="D22">
        <v>99.24</v>
      </c>
      <c r="E22">
        <v>98.94</v>
      </c>
      <c r="F22" s="4">
        <v>98.78</v>
      </c>
      <c r="G22" s="4">
        <v>98.46</v>
      </c>
      <c r="H22" s="4">
        <v>98.1</v>
      </c>
      <c r="I22" s="4">
        <v>98.05</v>
      </c>
      <c r="J22" s="4">
        <v>97.9</v>
      </c>
      <c r="K22" s="4">
        <v>98</v>
      </c>
      <c r="L22" s="4">
        <f t="shared" si="13"/>
        <v>100</v>
      </c>
      <c r="M22" s="4">
        <f t="shared" si="14"/>
        <v>97.9</v>
      </c>
      <c r="N22" s="4">
        <f t="shared" si="15"/>
        <v>2.09999999999999</v>
      </c>
      <c r="O22" s="4">
        <f t="shared" si="26"/>
        <v>1</v>
      </c>
      <c r="P22" s="4">
        <f t="shared" si="27"/>
        <v>0.728571428571431</v>
      </c>
      <c r="Q22" s="4">
        <f t="shared" si="28"/>
        <v>0.638095238095235</v>
      </c>
      <c r="R22" s="4">
        <f t="shared" si="29"/>
        <v>0.495238095238093</v>
      </c>
      <c r="S22" s="4">
        <f t="shared" si="30"/>
        <v>0.419047619047618</v>
      </c>
      <c r="T22" s="4">
        <f t="shared" si="31"/>
        <v>0.266666666666662</v>
      </c>
      <c r="U22" s="4">
        <f t="shared" si="32"/>
        <v>0.0952380952380901</v>
      </c>
      <c r="V22" s="4">
        <f t="shared" si="33"/>
        <v>0.0714285714285676</v>
      </c>
      <c r="W22" s="4">
        <f t="shared" si="34"/>
        <v>0</v>
      </c>
      <c r="X22" s="4">
        <f t="shared" si="35"/>
        <v>0.047619047619045</v>
      </c>
    </row>
    <row r="23" spans="1:24">
      <c r="A23" s="221" t="s">
        <v>27</v>
      </c>
      <c r="B23" s="218">
        <v>0.7103</v>
      </c>
      <c r="C23" s="218">
        <v>0.7367</v>
      </c>
      <c r="D23" s="218">
        <v>0.7121</v>
      </c>
      <c r="E23" s="218">
        <v>0.7168</v>
      </c>
      <c r="F23" s="218">
        <v>0.7115</v>
      </c>
      <c r="G23" s="218">
        <v>0.7234</v>
      </c>
      <c r="H23" s="218">
        <v>0.7144</v>
      </c>
      <c r="I23" s="218">
        <v>0.7099</v>
      </c>
      <c r="J23" s="218">
        <v>0.7103</v>
      </c>
      <c r="K23" s="218">
        <v>0.7098</v>
      </c>
      <c r="L23" s="4">
        <f t="shared" si="13"/>
        <v>0.7367</v>
      </c>
      <c r="M23" s="4">
        <f t="shared" si="14"/>
        <v>0.7098</v>
      </c>
      <c r="N23" s="4">
        <f t="shared" si="15"/>
        <v>0.0269</v>
      </c>
      <c r="O23" s="4">
        <f t="shared" si="26"/>
        <v>0.0185873605947976</v>
      </c>
      <c r="P23" s="4">
        <f t="shared" si="27"/>
        <v>1</v>
      </c>
      <c r="Q23" s="4">
        <f t="shared" si="28"/>
        <v>0.0855018587360582</v>
      </c>
      <c r="R23" s="4">
        <f t="shared" si="29"/>
        <v>0.260223048327137</v>
      </c>
      <c r="S23" s="4">
        <f t="shared" si="30"/>
        <v>0.063197026022306</v>
      </c>
      <c r="T23" s="4">
        <f t="shared" si="31"/>
        <v>0.50557620817844</v>
      </c>
      <c r="U23" s="4">
        <f t="shared" si="32"/>
        <v>0.171003717472121</v>
      </c>
      <c r="V23" s="4">
        <f t="shared" si="33"/>
        <v>0.00371747211895869</v>
      </c>
      <c r="W23" s="4">
        <f t="shared" si="34"/>
        <v>0.0185873605947976</v>
      </c>
      <c r="X23" s="4">
        <f t="shared" si="35"/>
        <v>0</v>
      </c>
    </row>
    <row r="24" spans="1:24">
      <c r="A24" s="221" t="s">
        <v>28</v>
      </c>
      <c r="B24" s="218">
        <v>1.7835</v>
      </c>
      <c r="C24" s="218">
        <v>1.6489</v>
      </c>
      <c r="D24" s="218">
        <v>1.5678</v>
      </c>
      <c r="E24" s="218">
        <v>1.7208</v>
      </c>
      <c r="F24" s="218">
        <v>1.7309</v>
      </c>
      <c r="G24" s="218">
        <v>1.7145</v>
      </c>
      <c r="H24" s="218">
        <v>1.6762</v>
      </c>
      <c r="I24" s="218">
        <v>1.6242</v>
      </c>
      <c r="J24" s="218">
        <v>1.5957</v>
      </c>
      <c r="K24" s="218">
        <v>1.72</v>
      </c>
      <c r="L24" s="4">
        <f t="shared" si="13"/>
        <v>1.7835</v>
      </c>
      <c r="M24" s="4">
        <f t="shared" si="14"/>
        <v>1.5678</v>
      </c>
      <c r="N24" s="4">
        <f t="shared" si="15"/>
        <v>0.2157</v>
      </c>
      <c r="O24" s="4">
        <f t="shared" si="26"/>
        <v>1</v>
      </c>
      <c r="P24" s="4">
        <f t="shared" si="27"/>
        <v>0.375985164580436</v>
      </c>
      <c r="Q24" s="4">
        <f t="shared" si="28"/>
        <v>0</v>
      </c>
      <c r="R24" s="4">
        <f t="shared" si="29"/>
        <v>0.709318497913769</v>
      </c>
      <c r="S24" s="4">
        <f t="shared" si="30"/>
        <v>0.756142790913306</v>
      </c>
      <c r="T24" s="4">
        <f t="shared" si="31"/>
        <v>0.680111265646731</v>
      </c>
      <c r="U24" s="4">
        <f t="shared" si="32"/>
        <v>0.502549837737598</v>
      </c>
      <c r="V24" s="4">
        <f t="shared" si="33"/>
        <v>0.261474269819193</v>
      </c>
      <c r="W24" s="4">
        <f t="shared" si="34"/>
        <v>0.129346314325451</v>
      </c>
      <c r="X24" s="4">
        <f t="shared" si="35"/>
        <v>0.705609643022716</v>
      </c>
    </row>
    <row r="25" spans="1:24">
      <c r="L25" s="4"/>
      <c r="M25" s="4"/>
      <c r="N25" s="4"/>
      <c r="O25" s="4"/>
      <c r="P25" s="4"/>
      <c r="Q25" s="4"/>
      <c r="R25" s="4"/>
      <c r="S25" s="4"/>
      <c r="T25" s="4"/>
    </row>
    <row r="26" spans="1:24">
      <c r="L26" s="4"/>
      <c r="M26" s="4"/>
      <c r="N26" s="4"/>
      <c r="O26" s="4">
        <v>2014</v>
      </c>
      <c r="P26" s="4">
        <v>2015</v>
      </c>
      <c r="Q26" s="4">
        <v>2016</v>
      </c>
      <c r="R26" s="4">
        <v>2017</v>
      </c>
      <c r="S26" s="4">
        <v>2018</v>
      </c>
      <c r="T26" s="4">
        <v>2019</v>
      </c>
      <c r="U26" s="4">
        <v>2020</v>
      </c>
      <c r="V26" s="4">
        <v>2021</v>
      </c>
      <c r="W26" s="4">
        <v>2022</v>
      </c>
      <c r="X26" s="4">
        <v>2023</v>
      </c>
    </row>
    <row r="27" spans="1:24">
      <c r="L27" s="4"/>
      <c r="M27" s="4"/>
      <c r="N27" s="4"/>
      <c r="O27" s="4">
        <f t="shared" ref="O27:X27" si="36">ROUND(O2,4)+0.0001</f>
        <v>0.1008</v>
      </c>
      <c r="P27" s="4">
        <f t="shared" si="36"/>
        <v>0.1528</v>
      </c>
      <c r="Q27" s="4">
        <f t="shared" si="36"/>
        <v>0.22</v>
      </c>
      <c r="R27" s="4">
        <f t="shared" si="36"/>
        <v>0.0001</v>
      </c>
      <c r="S27" s="4">
        <f t="shared" si="36"/>
        <v>0.4123</v>
      </c>
      <c r="T27" s="4">
        <f t="shared" si="36"/>
        <v>0.5902</v>
      </c>
      <c r="U27" s="4">
        <f t="shared" si="36"/>
        <v>0.663</v>
      </c>
      <c r="V27" s="4">
        <f t="shared" si="36"/>
        <v>0.8142</v>
      </c>
      <c r="W27" s="4">
        <f t="shared" si="36"/>
        <v>0.9282</v>
      </c>
      <c r="X27" s="4">
        <f t="shared" si="36"/>
        <v>1.0001</v>
      </c>
    </row>
    <row r="28" spans="1:24">
      <c r="L28" s="4"/>
      <c r="M28" s="4"/>
      <c r="N28" s="4"/>
      <c r="O28" s="4">
        <f t="shared" ref="O28:X28" si="37">ROUND(O3,4)+0.0001</f>
        <v>0.0001</v>
      </c>
      <c r="P28" s="4">
        <f t="shared" si="37"/>
        <v>0.3559</v>
      </c>
      <c r="Q28" s="4">
        <f t="shared" si="37"/>
        <v>0.4232</v>
      </c>
      <c r="R28" s="4">
        <f t="shared" si="37"/>
        <v>0.6059</v>
      </c>
      <c r="S28" s="4">
        <f t="shared" si="37"/>
        <v>0.7116</v>
      </c>
      <c r="T28" s="4">
        <f t="shared" si="37"/>
        <v>0.7789</v>
      </c>
      <c r="U28" s="4">
        <f t="shared" si="37"/>
        <v>0.8559</v>
      </c>
      <c r="V28" s="4">
        <f t="shared" si="37"/>
        <v>0.952</v>
      </c>
      <c r="W28" s="4">
        <f t="shared" si="37"/>
        <v>0.9809</v>
      </c>
      <c r="X28" s="4">
        <f t="shared" si="37"/>
        <v>1.0001</v>
      </c>
    </row>
    <row r="29" spans="1:24">
      <c r="L29" s="4"/>
      <c r="M29" s="4"/>
      <c r="N29" s="4"/>
      <c r="O29" s="4">
        <f t="shared" ref="O29:X29" si="38">ROUND(O4,4)+0.0001</f>
        <v>0.5582</v>
      </c>
      <c r="P29" s="4">
        <f t="shared" si="38"/>
        <v>0.6043</v>
      </c>
      <c r="Q29" s="4">
        <f t="shared" si="38"/>
        <v>0.5129</v>
      </c>
      <c r="R29" s="4">
        <f t="shared" si="38"/>
        <v>0.3605</v>
      </c>
      <c r="S29" s="4">
        <f t="shared" si="38"/>
        <v>0.277</v>
      </c>
      <c r="T29" s="4">
        <f t="shared" si="38"/>
        <v>0.2123</v>
      </c>
      <c r="U29" s="4">
        <f t="shared" si="38"/>
        <v>0.1872</v>
      </c>
      <c r="V29" s="4">
        <f t="shared" si="38"/>
        <v>1.0001</v>
      </c>
      <c r="W29" s="4">
        <f t="shared" si="38"/>
        <v>0.0511</v>
      </c>
      <c r="X29" s="4">
        <f t="shared" si="38"/>
        <v>0.0001</v>
      </c>
    </row>
    <row r="30" spans="1:24">
      <c r="L30" s="4"/>
      <c r="M30" s="4"/>
      <c r="N30" s="4"/>
      <c r="O30" s="4">
        <f t="shared" ref="O30:X30" si="39">ROUND(O5,4)+0.0001</f>
        <v>0.0715</v>
      </c>
      <c r="P30" s="4">
        <f t="shared" si="39"/>
        <v>0.1287</v>
      </c>
      <c r="Q30" s="4">
        <f t="shared" si="39"/>
        <v>0.2001</v>
      </c>
      <c r="R30" s="4">
        <f t="shared" si="39"/>
        <v>0.0001</v>
      </c>
      <c r="S30" s="4">
        <f t="shared" si="39"/>
        <v>0.4144</v>
      </c>
      <c r="T30" s="4">
        <f t="shared" si="39"/>
        <v>0.6001</v>
      </c>
      <c r="U30" s="4">
        <f t="shared" si="39"/>
        <v>0.6715</v>
      </c>
      <c r="V30" s="4">
        <f t="shared" si="39"/>
        <v>0.8144</v>
      </c>
      <c r="W30" s="4">
        <f t="shared" si="39"/>
        <v>0.9287</v>
      </c>
      <c r="X30" s="4">
        <f t="shared" si="39"/>
        <v>1.0001</v>
      </c>
    </row>
    <row r="31" spans="1:24">
      <c r="L31" s="4"/>
      <c r="M31" s="4"/>
      <c r="N31" s="4"/>
      <c r="O31" s="4">
        <f t="shared" ref="O31:X31" si="40">ROUND(O6,4)+0.0001</f>
        <v>0.0001</v>
      </c>
      <c r="P31" s="4">
        <f t="shared" si="40"/>
        <v>0.1528</v>
      </c>
      <c r="Q31" s="4">
        <f t="shared" si="40"/>
        <v>0.3623</v>
      </c>
      <c r="R31" s="4">
        <f t="shared" si="40"/>
        <v>0.4896</v>
      </c>
      <c r="S31" s="4">
        <f t="shared" si="40"/>
        <v>0.7164</v>
      </c>
      <c r="T31" s="4">
        <f t="shared" si="40"/>
        <v>0.6078</v>
      </c>
      <c r="U31" s="4">
        <f t="shared" si="40"/>
        <v>0.614</v>
      </c>
      <c r="V31" s="4">
        <f t="shared" si="40"/>
        <v>0.0507</v>
      </c>
      <c r="W31" s="4">
        <f t="shared" si="40"/>
        <v>0.6862</v>
      </c>
      <c r="X31" s="4">
        <f t="shared" si="40"/>
        <v>1.0001</v>
      </c>
    </row>
    <row r="32" spans="1:24">
      <c r="L32" s="4"/>
      <c r="M32" s="4"/>
      <c r="N32" s="4"/>
      <c r="O32" s="4">
        <f t="shared" ref="O32:X32" si="41">ROUND(O7,4)+0.0001</f>
        <v>0.0001</v>
      </c>
      <c r="P32" s="4">
        <f t="shared" si="41"/>
        <v>0.0987</v>
      </c>
      <c r="Q32" s="4">
        <f t="shared" si="41"/>
        <v>0.1689</v>
      </c>
      <c r="R32" s="4">
        <f t="shared" si="41"/>
        <v>0.3045</v>
      </c>
      <c r="S32" s="4">
        <f t="shared" si="41"/>
        <v>0.4485</v>
      </c>
      <c r="T32" s="4">
        <f t="shared" si="41"/>
        <v>0.5726</v>
      </c>
      <c r="U32" s="4">
        <f t="shared" si="41"/>
        <v>0.7358</v>
      </c>
      <c r="V32" s="4">
        <f t="shared" si="41"/>
        <v>0.8362</v>
      </c>
      <c r="W32" s="4">
        <f t="shared" si="41"/>
        <v>0.9402</v>
      </c>
      <c r="X32" s="4">
        <f t="shared" si="41"/>
        <v>1.0001</v>
      </c>
    </row>
    <row r="33" spans="12:24">
      <c r="L33" s="4"/>
      <c r="M33" s="4"/>
      <c r="N33" s="4"/>
      <c r="O33" s="4">
        <f t="shared" ref="O33:X33" si="42">ROUND(O8,4)+0.0001</f>
        <v>0.0001</v>
      </c>
      <c r="P33" s="4">
        <f t="shared" si="42"/>
        <v>0.2017</v>
      </c>
      <c r="Q33" s="4">
        <f t="shared" si="42"/>
        <v>0.3794</v>
      </c>
      <c r="R33" s="4">
        <f t="shared" si="42"/>
        <v>0.622</v>
      </c>
      <c r="S33" s="4">
        <f t="shared" si="42"/>
        <v>0.9145</v>
      </c>
      <c r="T33" s="4">
        <f t="shared" si="42"/>
        <v>0.5602</v>
      </c>
      <c r="U33" s="4">
        <f t="shared" si="42"/>
        <v>0.5504</v>
      </c>
      <c r="V33" s="4">
        <f t="shared" si="42"/>
        <v>0.1395</v>
      </c>
      <c r="W33" s="4">
        <f t="shared" si="42"/>
        <v>0.8145</v>
      </c>
      <c r="X33" s="4">
        <f t="shared" si="42"/>
        <v>1.0001</v>
      </c>
    </row>
    <row r="34" spans="12:24">
      <c r="L34" s="4"/>
      <c r="M34" s="4"/>
      <c r="N34" s="4"/>
      <c r="O34" s="4">
        <f t="shared" ref="O34:X34" si="43">ROUND(O9,4)+0.0001</f>
        <v>0.0001</v>
      </c>
      <c r="P34" s="4">
        <f t="shared" si="43"/>
        <v>0.0466</v>
      </c>
      <c r="Q34" s="4">
        <f t="shared" si="43"/>
        <v>0.0166</v>
      </c>
      <c r="R34" s="4">
        <f t="shared" si="43"/>
        <v>1.0001</v>
      </c>
      <c r="S34" s="4">
        <f t="shared" si="43"/>
        <v>0.2629</v>
      </c>
      <c r="T34" s="4">
        <f t="shared" si="43"/>
        <v>0.3665</v>
      </c>
      <c r="U34" s="4">
        <f t="shared" si="43"/>
        <v>0.368</v>
      </c>
      <c r="V34" s="4">
        <f t="shared" si="43"/>
        <v>0.3635</v>
      </c>
      <c r="W34" s="4">
        <f t="shared" si="43"/>
        <v>0.3755</v>
      </c>
      <c r="X34" s="4">
        <f t="shared" si="43"/>
        <v>0.371</v>
      </c>
    </row>
    <row r="35" spans="12:24">
      <c r="L35" s="4"/>
      <c r="M35" s="4"/>
      <c r="N35" s="4"/>
      <c r="O35" s="4">
        <f t="shared" ref="O35:X35" si="44">ROUND(O10,4)+0.0001</f>
        <v>0.0001</v>
      </c>
      <c r="P35" s="4">
        <f t="shared" si="44"/>
        <v>0.4493</v>
      </c>
      <c r="Q35" s="4">
        <f t="shared" si="44"/>
        <v>0.4747</v>
      </c>
      <c r="R35" s="4">
        <f t="shared" si="44"/>
        <v>0.5679</v>
      </c>
      <c r="S35" s="4">
        <f t="shared" si="44"/>
        <v>0.5509</v>
      </c>
      <c r="T35" s="4">
        <f t="shared" si="44"/>
        <v>0.7204</v>
      </c>
      <c r="U35" s="4">
        <f t="shared" si="44"/>
        <v>0.9662</v>
      </c>
      <c r="V35" s="4">
        <f t="shared" si="44"/>
        <v>0.9747</v>
      </c>
      <c r="W35" s="4">
        <f t="shared" si="44"/>
        <v>1.0001</v>
      </c>
      <c r="X35" s="4">
        <f t="shared" si="44"/>
        <v>0.7967</v>
      </c>
    </row>
    <row r="36" spans="12:24">
      <c r="L36" s="4"/>
      <c r="M36" s="4"/>
      <c r="N36" s="4"/>
      <c r="O36" s="4">
        <f t="shared" ref="O36:X36" si="45">ROUND(O11,4)+0.0001</f>
        <v>0.0001</v>
      </c>
      <c r="P36" s="4">
        <f t="shared" si="45"/>
        <v>0.1009</v>
      </c>
      <c r="Q36" s="4">
        <f t="shared" si="45"/>
        <v>0.2404</v>
      </c>
      <c r="R36" s="4">
        <f t="shared" si="45"/>
        <v>0.3954</v>
      </c>
      <c r="S36" s="4">
        <f t="shared" si="45"/>
        <v>0.5505</v>
      </c>
      <c r="T36" s="4">
        <f t="shared" si="45"/>
        <v>0.6745</v>
      </c>
      <c r="U36" s="4">
        <f t="shared" si="45"/>
        <v>0.7675</v>
      </c>
      <c r="V36" s="4">
        <f t="shared" si="45"/>
        <v>0.7985</v>
      </c>
      <c r="W36" s="4">
        <f t="shared" si="45"/>
        <v>0.9071</v>
      </c>
      <c r="X36" s="4">
        <f t="shared" si="45"/>
        <v>1.0001</v>
      </c>
    </row>
    <row r="37" spans="12:24"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2:24">
      <c r="L38" s="4"/>
      <c r="M38" s="4"/>
      <c r="N38" s="4"/>
      <c r="O38" s="4">
        <f t="shared" ref="O38:X38" si="46">ROUND(O13,4)+0.0001</f>
        <v>1.0001</v>
      </c>
      <c r="P38" s="4">
        <f t="shared" si="46"/>
        <v>1.0001</v>
      </c>
      <c r="Q38" s="4">
        <f t="shared" si="46"/>
        <v>0.6668</v>
      </c>
      <c r="R38" s="4">
        <f t="shared" si="46"/>
        <v>0.6668</v>
      </c>
      <c r="S38" s="4">
        <f t="shared" si="46"/>
        <v>0.3334</v>
      </c>
      <c r="T38" s="4">
        <f t="shared" si="46"/>
        <v>0.3334</v>
      </c>
      <c r="U38" s="4">
        <f t="shared" si="46"/>
        <v>0.3334</v>
      </c>
      <c r="V38" s="4">
        <f t="shared" si="46"/>
        <v>0.3334</v>
      </c>
      <c r="W38" s="4">
        <f t="shared" si="46"/>
        <v>0.0001</v>
      </c>
      <c r="X38" s="4">
        <f t="shared" si="46"/>
        <v>0.0001</v>
      </c>
    </row>
    <row r="39" spans="12:24">
      <c r="L39" s="4"/>
      <c r="M39" s="4"/>
      <c r="N39" s="4"/>
      <c r="O39" s="4">
        <f t="shared" ref="O39:X39" si="47">ROUND(O14,4)+0.0001</f>
        <v>1.0001</v>
      </c>
      <c r="P39" s="4">
        <f t="shared" si="47"/>
        <v>0.6489</v>
      </c>
      <c r="Q39" s="4">
        <f t="shared" si="47"/>
        <v>0.5715</v>
      </c>
      <c r="R39" s="4">
        <f t="shared" si="47"/>
        <v>0.4465</v>
      </c>
      <c r="S39" s="4">
        <f t="shared" si="47"/>
        <v>0.4227</v>
      </c>
      <c r="T39" s="4">
        <f t="shared" si="47"/>
        <v>0.262</v>
      </c>
      <c r="U39" s="4">
        <f t="shared" si="47"/>
        <v>0.0537</v>
      </c>
      <c r="V39" s="4">
        <f t="shared" si="47"/>
        <v>0.0358</v>
      </c>
      <c r="W39" s="4">
        <f t="shared" si="47"/>
        <v>0.0001</v>
      </c>
      <c r="X39" s="4">
        <f t="shared" si="47"/>
        <v>0.1132</v>
      </c>
    </row>
    <row r="40" spans="12:24">
      <c r="L40" s="4"/>
      <c r="M40" s="4"/>
      <c r="N40" s="4"/>
      <c r="O40" s="4">
        <f t="shared" ref="O40:X40" si="48">ROUND(O15,4)+0.0001</f>
        <v>0.6523</v>
      </c>
      <c r="P40" s="4">
        <f t="shared" si="48"/>
        <v>0.8262</v>
      </c>
      <c r="Q40" s="4">
        <f t="shared" si="48"/>
        <v>1.0001</v>
      </c>
      <c r="R40" s="4">
        <f t="shared" si="48"/>
        <v>0.7827</v>
      </c>
      <c r="S40" s="4">
        <f t="shared" si="48"/>
        <v>0.9131</v>
      </c>
      <c r="T40" s="4">
        <f t="shared" si="48"/>
        <v>0.6088</v>
      </c>
      <c r="U40" s="4">
        <f t="shared" si="48"/>
        <v>0.4784</v>
      </c>
      <c r="V40" s="4">
        <f t="shared" si="48"/>
        <v>0.0001</v>
      </c>
      <c r="W40" s="4">
        <f t="shared" si="48"/>
        <v>0.174</v>
      </c>
      <c r="X40" s="4">
        <f t="shared" si="48"/>
        <v>0.1305</v>
      </c>
    </row>
    <row r="41" spans="12:24">
      <c r="L41" s="4"/>
      <c r="M41" s="4"/>
      <c r="N41" s="4"/>
      <c r="O41" s="4">
        <f t="shared" ref="O41:X41" si="49">ROUND(O16,4)+0.0001</f>
        <v>0.0001</v>
      </c>
      <c r="P41" s="4">
        <f t="shared" si="49"/>
        <v>0.2113</v>
      </c>
      <c r="Q41" s="4">
        <f t="shared" si="49"/>
        <v>0.4105</v>
      </c>
      <c r="R41" s="4">
        <f t="shared" si="49"/>
        <v>0.5858</v>
      </c>
      <c r="S41" s="4">
        <f t="shared" si="49"/>
        <v>0.8128</v>
      </c>
      <c r="T41" s="4">
        <f t="shared" si="49"/>
        <v>0.9961</v>
      </c>
      <c r="U41" s="4">
        <f t="shared" si="49"/>
        <v>1.0001</v>
      </c>
      <c r="V41" s="4">
        <f t="shared" si="49"/>
        <v>0.0798</v>
      </c>
      <c r="W41" s="4">
        <f t="shared" si="49"/>
        <v>0.0838</v>
      </c>
      <c r="X41" s="4">
        <f t="shared" si="49"/>
        <v>0.2591</v>
      </c>
    </row>
    <row r="42" spans="12:24">
      <c r="L42" s="4"/>
      <c r="M42" s="4"/>
      <c r="N42" s="4"/>
      <c r="O42" s="4">
        <f t="shared" ref="O42:X42" si="50">ROUND(O17,4)+0.0001</f>
        <v>0.0001</v>
      </c>
      <c r="P42" s="4">
        <f t="shared" si="50"/>
        <v>0.0277</v>
      </c>
      <c r="Q42" s="4">
        <f t="shared" si="50"/>
        <v>0.1173</v>
      </c>
      <c r="R42" s="4">
        <f t="shared" si="50"/>
        <v>0.376</v>
      </c>
      <c r="S42" s="4">
        <f t="shared" si="50"/>
        <v>0.507</v>
      </c>
      <c r="T42" s="4">
        <f t="shared" si="50"/>
        <v>0.5932</v>
      </c>
      <c r="U42" s="4">
        <f t="shared" si="50"/>
        <v>0.7656</v>
      </c>
      <c r="V42" s="4">
        <f t="shared" si="50"/>
        <v>0.4587</v>
      </c>
      <c r="W42" s="4">
        <f t="shared" si="50"/>
        <v>1.0001</v>
      </c>
      <c r="X42" s="4">
        <f t="shared" si="50"/>
        <v>0.0898</v>
      </c>
    </row>
    <row r="43" spans="12:24">
      <c r="L43" s="4"/>
      <c r="M43" s="4"/>
      <c r="N43" s="4"/>
      <c r="O43" s="4">
        <f t="shared" ref="O43:X43" si="51">ROUND(O18,4)+0.0001</f>
        <v>0.7127</v>
      </c>
      <c r="P43" s="4">
        <f t="shared" si="51"/>
        <v>0.3584</v>
      </c>
      <c r="Q43" s="4">
        <f t="shared" si="51"/>
        <v>0.6871</v>
      </c>
      <c r="R43" s="4">
        <f t="shared" si="51"/>
        <v>0.0001</v>
      </c>
      <c r="S43" s="4">
        <f t="shared" si="51"/>
        <v>0.5952</v>
      </c>
      <c r="T43" s="4">
        <f t="shared" si="51"/>
        <v>0.7823</v>
      </c>
      <c r="U43" s="4">
        <f t="shared" si="51"/>
        <v>0.8229</v>
      </c>
      <c r="V43" s="4">
        <f t="shared" si="51"/>
        <v>0.924</v>
      </c>
      <c r="W43" s="4">
        <f t="shared" si="51"/>
        <v>1.0001</v>
      </c>
      <c r="X43" s="4">
        <f t="shared" si="51"/>
        <v>0.8899</v>
      </c>
    </row>
    <row r="44" spans="12:24">
      <c r="L44" s="4"/>
      <c r="M44" s="4"/>
      <c r="N44" s="4"/>
      <c r="O44" s="4">
        <f t="shared" ref="O44:X44" si="52">ROUND(O19,4)+0.0001</f>
        <v>0.7206</v>
      </c>
      <c r="P44" s="4">
        <f t="shared" si="52"/>
        <v>0.7893</v>
      </c>
      <c r="Q44" s="4">
        <f t="shared" si="52"/>
        <v>1.0001</v>
      </c>
      <c r="R44" s="4">
        <f t="shared" si="52"/>
        <v>0.8032</v>
      </c>
      <c r="S44" s="4">
        <f t="shared" si="52"/>
        <v>0.7124</v>
      </c>
      <c r="T44" s="4">
        <f t="shared" si="52"/>
        <v>0.2739</v>
      </c>
      <c r="U44" s="4">
        <f t="shared" si="52"/>
        <v>0.2742</v>
      </c>
      <c r="V44" s="4">
        <f t="shared" si="52"/>
        <v>0.5685</v>
      </c>
      <c r="W44" s="4">
        <f t="shared" si="52"/>
        <v>0.283</v>
      </c>
      <c r="X44" s="4">
        <f t="shared" si="52"/>
        <v>0.0001</v>
      </c>
    </row>
    <row r="45" spans="12:24">
      <c r="L45" s="4"/>
      <c r="M45" s="4"/>
      <c r="N45" s="4"/>
      <c r="O45" s="4">
        <f t="shared" ref="O45:X45" si="53">ROUND(O20,4)+0.0001</f>
        <v>0.0001</v>
      </c>
      <c r="P45" s="4">
        <f t="shared" si="53"/>
        <v>0.0226</v>
      </c>
      <c r="Q45" s="4">
        <f t="shared" si="53"/>
        <v>0.3808</v>
      </c>
      <c r="R45" s="4">
        <f t="shared" si="53"/>
        <v>0.4928</v>
      </c>
      <c r="S45" s="4">
        <f t="shared" si="53"/>
        <v>0.5304</v>
      </c>
      <c r="T45" s="4">
        <f t="shared" si="53"/>
        <v>0.4548</v>
      </c>
      <c r="U45" s="4">
        <f t="shared" si="53"/>
        <v>0.9557</v>
      </c>
      <c r="V45" s="4">
        <f t="shared" si="53"/>
        <v>0.969</v>
      </c>
      <c r="W45" s="4">
        <f t="shared" si="53"/>
        <v>1.0001</v>
      </c>
      <c r="X45" s="4">
        <f t="shared" si="53"/>
        <v>0.9776</v>
      </c>
    </row>
    <row r="46" spans="12:24">
      <c r="L46" s="4"/>
      <c r="M46" s="4"/>
      <c r="N46" s="4"/>
      <c r="O46" s="4">
        <f t="shared" ref="O46:X46" si="54">ROUND(O21,4)+0.0001</f>
        <v>1.0001</v>
      </c>
      <c r="P46" s="4">
        <f t="shared" si="54"/>
        <v>0.6727</v>
      </c>
      <c r="Q46" s="4">
        <f t="shared" si="54"/>
        <v>0.5753</v>
      </c>
      <c r="R46" s="4">
        <f t="shared" si="54"/>
        <v>0.4426</v>
      </c>
      <c r="S46" s="4">
        <f t="shared" si="54"/>
        <v>0.4072</v>
      </c>
      <c r="T46" s="4">
        <f t="shared" si="54"/>
        <v>0.2567</v>
      </c>
      <c r="U46" s="4">
        <f t="shared" si="54"/>
        <v>0.0532</v>
      </c>
      <c r="V46" s="4">
        <f t="shared" si="54"/>
        <v>0.0355</v>
      </c>
      <c r="W46" s="4">
        <f t="shared" si="54"/>
        <v>0.0001</v>
      </c>
      <c r="X46" s="4">
        <f t="shared" si="54"/>
        <v>0.0974</v>
      </c>
    </row>
    <row r="47" spans="12:24">
      <c r="L47" s="4"/>
      <c r="M47" s="4"/>
      <c r="N47" s="4"/>
      <c r="O47" s="4">
        <f t="shared" ref="O47:X47" si="55">ROUND(O22,4)+0.0001</f>
        <v>1.0001</v>
      </c>
      <c r="P47" s="4">
        <f t="shared" si="55"/>
        <v>0.7287</v>
      </c>
      <c r="Q47" s="4">
        <f t="shared" si="55"/>
        <v>0.6382</v>
      </c>
      <c r="R47" s="4">
        <f t="shared" si="55"/>
        <v>0.4953</v>
      </c>
      <c r="S47" s="4">
        <f t="shared" si="55"/>
        <v>0.4191</v>
      </c>
      <c r="T47" s="4">
        <f t="shared" si="55"/>
        <v>0.2668</v>
      </c>
      <c r="U47" s="4">
        <f t="shared" si="55"/>
        <v>0.0953</v>
      </c>
      <c r="V47" s="4">
        <f t="shared" si="55"/>
        <v>0.0715</v>
      </c>
      <c r="W47" s="4">
        <f t="shared" si="55"/>
        <v>0.0001</v>
      </c>
      <c r="X47" s="4">
        <f t="shared" si="55"/>
        <v>0.0477</v>
      </c>
    </row>
    <row r="48" spans="12:24">
      <c r="L48" s="4"/>
      <c r="M48" s="4"/>
      <c r="N48" s="4"/>
      <c r="O48" s="4">
        <f t="shared" ref="O48:X48" si="56">ROUND(O23,4)+0.0001</f>
        <v>0.0187</v>
      </c>
      <c r="P48" s="4">
        <f t="shared" si="56"/>
        <v>1.0001</v>
      </c>
      <c r="Q48" s="4">
        <f t="shared" si="56"/>
        <v>0.0856</v>
      </c>
      <c r="R48" s="4">
        <f t="shared" si="56"/>
        <v>0.2603</v>
      </c>
      <c r="S48" s="4">
        <f t="shared" si="56"/>
        <v>0.0633</v>
      </c>
      <c r="T48" s="4">
        <f t="shared" si="56"/>
        <v>0.5057</v>
      </c>
      <c r="U48" s="4">
        <f t="shared" si="56"/>
        <v>0.1711</v>
      </c>
      <c r="V48" s="4">
        <f t="shared" si="56"/>
        <v>0.0038</v>
      </c>
      <c r="W48" s="4">
        <f t="shared" si="56"/>
        <v>0.0187</v>
      </c>
      <c r="X48" s="4">
        <f t="shared" si="56"/>
        <v>0.0001</v>
      </c>
    </row>
    <row r="49" spans="12:24">
      <c r="L49" s="4"/>
      <c r="M49" s="4"/>
      <c r="N49" s="4"/>
      <c r="O49" s="4">
        <f t="shared" ref="O49:X49" si="57">ROUND(O24,4)+0.0001</f>
        <v>1.0001</v>
      </c>
      <c r="P49" s="4">
        <f t="shared" si="57"/>
        <v>0.3761</v>
      </c>
      <c r="Q49" s="4">
        <f t="shared" si="57"/>
        <v>0.0001</v>
      </c>
      <c r="R49" s="4">
        <f t="shared" si="57"/>
        <v>0.7094</v>
      </c>
      <c r="S49" s="4">
        <f t="shared" si="57"/>
        <v>0.7562</v>
      </c>
      <c r="T49" s="4">
        <f t="shared" si="57"/>
        <v>0.6802</v>
      </c>
      <c r="U49" s="4">
        <f t="shared" si="57"/>
        <v>0.5026</v>
      </c>
      <c r="V49" s="4">
        <f t="shared" si="57"/>
        <v>0.2616</v>
      </c>
      <c r="W49" s="4">
        <f t="shared" si="57"/>
        <v>0.1294</v>
      </c>
      <c r="X49" s="4">
        <f t="shared" si="57"/>
        <v>0.7057</v>
      </c>
    </row>
  </sheetData>
  <pageMargins left="0.7" right="0.7" top="0.75" bottom="0.75" header="0.3" footer="0.3"/>
  <pageSetup paperSize="9" orientation="portrait"/>
  <headerFooter/>
  <ignoredErrors>
    <ignoredError sqref="A1:X14 A15 L15:X15 A16:X22 A23:A2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9"/>
  <sheetViews>
    <sheetView workbookViewId="0">
      <selection activeCell="L23" sqref="L23:X49"/>
    </sheetView>
  </sheetViews>
  <sheetFormatPr defaultColWidth="9" defaultRowHeight="13.5"/>
  <cols>
    <col min="1" max="1" width="31.6283185840708" customWidth="1"/>
    <col min="2" max="2" width="9.3716814159292"/>
  </cols>
  <sheetData>
    <row r="1" spans="1:24">
      <c r="A1" s="218" t="s">
        <v>0</v>
      </c>
      <c r="B1" s="218">
        <v>2014</v>
      </c>
      <c r="C1" s="218">
        <v>2015</v>
      </c>
      <c r="D1" s="218">
        <v>2016</v>
      </c>
      <c r="E1" s="218">
        <v>2017</v>
      </c>
      <c r="F1" s="218">
        <v>2018</v>
      </c>
      <c r="G1" s="218">
        <v>2019</v>
      </c>
      <c r="H1" s="218">
        <v>2020</v>
      </c>
      <c r="I1" s="218">
        <v>2021</v>
      </c>
      <c r="J1" s="4">
        <v>2022</v>
      </c>
      <c r="K1" s="4">
        <v>2023</v>
      </c>
      <c r="L1" s="4" t="s">
        <v>2</v>
      </c>
      <c r="M1" s="219" t="s">
        <v>3</v>
      </c>
      <c r="N1" s="4" t="s">
        <v>4</v>
      </c>
      <c r="O1" s="4">
        <v>2014</v>
      </c>
      <c r="P1" s="4">
        <v>2015</v>
      </c>
      <c r="Q1" s="4">
        <v>2016</v>
      </c>
      <c r="R1" s="4">
        <v>2017</v>
      </c>
      <c r="S1" s="4">
        <v>2018</v>
      </c>
      <c r="T1" s="4">
        <v>2019</v>
      </c>
      <c r="U1" s="4">
        <v>2020</v>
      </c>
      <c r="V1" s="4">
        <v>2021</v>
      </c>
      <c r="W1" s="4">
        <v>2022</v>
      </c>
      <c r="X1" s="4">
        <v>2023</v>
      </c>
    </row>
    <row r="2" ht="15.75" spans="1:24">
      <c r="A2" s="220" t="s">
        <v>5</v>
      </c>
      <c r="B2" s="4">
        <v>23567.7</v>
      </c>
      <c r="C2" s="4">
        <v>25123.45</v>
      </c>
      <c r="D2">
        <v>28178.65</v>
      </c>
      <c r="E2">
        <v>30632.99</v>
      </c>
      <c r="F2" s="4">
        <v>32679.87</v>
      </c>
      <c r="G2" s="4">
        <v>38156</v>
      </c>
      <c r="H2" s="4">
        <v>38701</v>
      </c>
      <c r="I2" s="4">
        <v>43215</v>
      </c>
      <c r="J2" s="4">
        <v>44653</v>
      </c>
      <c r="K2" s="40">
        <v>47219</v>
      </c>
      <c r="L2" s="4">
        <f t="shared" ref="L2:L11" si="0">MAX(B2:K2)</f>
        <v>47219</v>
      </c>
      <c r="M2" s="4">
        <f t="shared" ref="M2:M11" si="1">MIN(B2:K2)</f>
        <v>23567.7</v>
      </c>
      <c r="N2" s="4">
        <f t="shared" ref="N2:N11" si="2">L2-M2</f>
        <v>23651.3</v>
      </c>
      <c r="O2" s="4">
        <f t="shared" ref="O2:O11" si="3">(B2-M2)/N2</f>
        <v>0</v>
      </c>
      <c r="P2" s="4">
        <f t="shared" ref="P2:P11" si="4">(C2-M2)/N2</f>
        <v>0.0657786252764119</v>
      </c>
      <c r="Q2" s="4">
        <f t="shared" ref="Q2:Q11" si="5">(D2-M2)/N2</f>
        <v>0.194955456993907</v>
      </c>
      <c r="R2" s="4">
        <f t="shared" ref="R2:R11" si="6">(E2-M2)/N2</f>
        <v>0.298727342683066</v>
      </c>
      <c r="S2" s="4">
        <f t="shared" ref="S2:S11" si="7">(F2-M2)/N2</f>
        <v>0.385271422712494</v>
      </c>
      <c r="T2" s="4">
        <f t="shared" ref="T2:T11" si="8">(G2-M2)/N2</f>
        <v>0.616807532778325</v>
      </c>
      <c r="U2" s="4">
        <f t="shared" ref="U2:U11" si="9">(H2-M2)/N2</f>
        <v>0.639850663599887</v>
      </c>
      <c r="V2" s="4">
        <f t="shared" ref="V2:V11" si="10">(I2-M2)/N2</f>
        <v>0.830706980165995</v>
      </c>
      <c r="W2" s="4">
        <f t="shared" ref="W2:W11" si="11">(J2-M2)/N2</f>
        <v>0.89150702075573</v>
      </c>
      <c r="X2" s="4">
        <f t="shared" ref="X2:X11" si="12">(K2-M2)/N2</f>
        <v>1</v>
      </c>
    </row>
    <row r="3" ht="15.75" spans="1:24">
      <c r="A3" s="220" t="s">
        <v>7</v>
      </c>
      <c r="B3" s="4">
        <v>2467</v>
      </c>
      <c r="C3" s="171">
        <v>2458</v>
      </c>
      <c r="D3">
        <v>2467</v>
      </c>
      <c r="E3">
        <v>2466</v>
      </c>
      <c r="F3" s="4">
        <v>2475</v>
      </c>
      <c r="G3" s="4">
        <v>2481</v>
      </c>
      <c r="H3" s="4">
        <v>2488</v>
      </c>
      <c r="I3" s="4">
        <v>2489</v>
      </c>
      <c r="J3" s="4">
        <v>2475</v>
      </c>
      <c r="K3" s="4">
        <v>2487</v>
      </c>
      <c r="L3" s="4">
        <f t="shared" si="0"/>
        <v>2489</v>
      </c>
      <c r="M3" s="4">
        <f t="shared" si="1"/>
        <v>2458</v>
      </c>
      <c r="N3" s="4">
        <f t="shared" si="2"/>
        <v>31</v>
      </c>
      <c r="O3" s="4">
        <f t="shared" si="3"/>
        <v>0.290322580645161</v>
      </c>
      <c r="P3" s="4">
        <f t="shared" si="4"/>
        <v>0</v>
      </c>
      <c r="Q3" s="4">
        <f t="shared" si="5"/>
        <v>0.290322580645161</v>
      </c>
      <c r="R3" s="4">
        <f t="shared" si="6"/>
        <v>0.258064516129032</v>
      </c>
      <c r="S3" s="4">
        <f t="shared" si="7"/>
        <v>0.548387096774194</v>
      </c>
      <c r="T3" s="4">
        <f t="shared" si="8"/>
        <v>0.741935483870968</v>
      </c>
      <c r="U3" s="4">
        <f t="shared" si="9"/>
        <v>0.967741935483871</v>
      </c>
      <c r="V3" s="4">
        <f t="shared" si="10"/>
        <v>1</v>
      </c>
      <c r="W3" s="4">
        <f t="shared" si="11"/>
        <v>0.548387096774194</v>
      </c>
      <c r="X3" s="4">
        <f t="shared" si="12"/>
        <v>0.935483870967742</v>
      </c>
    </row>
    <row r="4" ht="15.75" spans="1:24">
      <c r="A4" s="220" t="s">
        <v>8</v>
      </c>
      <c r="B4" s="4">
        <v>1323.36</v>
      </c>
      <c r="C4" s="4">
        <v>1335.93</v>
      </c>
      <c r="D4">
        <v>1344.03</v>
      </c>
      <c r="E4">
        <v>1353.86</v>
      </c>
      <c r="F4" s="4">
        <v>1361.95</v>
      </c>
      <c r="G4" s="4">
        <v>1371.7</v>
      </c>
      <c r="H4" s="4">
        <v>1369.71</v>
      </c>
      <c r="I4" s="4">
        <v>809.27</v>
      </c>
      <c r="J4" s="4">
        <v>1441.33</v>
      </c>
      <c r="K4" s="4">
        <v>1463.13</v>
      </c>
      <c r="L4" s="4">
        <f t="shared" si="0"/>
        <v>1463.13</v>
      </c>
      <c r="M4" s="4">
        <f t="shared" si="1"/>
        <v>809.27</v>
      </c>
      <c r="N4" s="4">
        <f t="shared" si="2"/>
        <v>653.86</v>
      </c>
      <c r="O4" s="4">
        <f>(L4-B4)/N4</f>
        <v>0.213761355641881</v>
      </c>
      <c r="P4" s="4">
        <f>(L4-C4)/N4</f>
        <v>0.194537056862325</v>
      </c>
      <c r="Q4" s="4">
        <f>(L4-D4)/N4</f>
        <v>0.182149083901753</v>
      </c>
      <c r="R4" s="4">
        <f>(L4-E4)/N4</f>
        <v>0.167115284617502</v>
      </c>
      <c r="S4" s="4">
        <f>(L4-F4)/N4</f>
        <v>0.154742605450708</v>
      </c>
      <c r="T4" s="4">
        <f>(L4-G4)/N4</f>
        <v>0.139831156516686</v>
      </c>
      <c r="U4" s="4">
        <f>(L4-H4)/N4</f>
        <v>0.142874621478604</v>
      </c>
      <c r="V4" s="4">
        <f>(L4-I4)/N4</f>
        <v>1</v>
      </c>
      <c r="W4" s="4">
        <f>(L4-J4)/N4</f>
        <v>0.0333404704370969</v>
      </c>
      <c r="X4" s="4">
        <f>(L4-K4)/N4</f>
        <v>0</v>
      </c>
    </row>
    <row r="5" ht="15.75" spans="1:24">
      <c r="A5" s="220" t="s">
        <v>10</v>
      </c>
      <c r="B5" s="4">
        <v>3.72</v>
      </c>
      <c r="C5" s="4">
        <v>3.96</v>
      </c>
      <c r="D5">
        <v>4.44</v>
      </c>
      <c r="E5">
        <v>4.83</v>
      </c>
      <c r="F5" s="4">
        <v>5.15</v>
      </c>
      <c r="G5" s="4">
        <v>6.02</v>
      </c>
      <c r="H5" s="4">
        <v>6.1</v>
      </c>
      <c r="I5" s="4">
        <v>6.82</v>
      </c>
      <c r="J5" s="4">
        <v>7.04</v>
      </c>
      <c r="K5" s="4">
        <v>7.45</v>
      </c>
      <c r="L5" s="4">
        <f t="shared" si="0"/>
        <v>7.45</v>
      </c>
      <c r="M5" s="4">
        <f t="shared" si="1"/>
        <v>3.72</v>
      </c>
      <c r="N5" s="4">
        <f t="shared" si="2"/>
        <v>3.73</v>
      </c>
      <c r="O5" s="4">
        <f t="shared" si="3"/>
        <v>0</v>
      </c>
      <c r="P5" s="4">
        <f t="shared" si="4"/>
        <v>0.0643431635388739</v>
      </c>
      <c r="Q5" s="4">
        <f t="shared" si="5"/>
        <v>0.193029490616622</v>
      </c>
      <c r="R5" s="4">
        <f t="shared" si="6"/>
        <v>0.297587131367292</v>
      </c>
      <c r="S5" s="4">
        <f t="shared" si="7"/>
        <v>0.383378016085791</v>
      </c>
      <c r="T5" s="4">
        <f t="shared" si="8"/>
        <v>0.616621983914209</v>
      </c>
      <c r="U5" s="4">
        <f t="shared" si="9"/>
        <v>0.638069705093834</v>
      </c>
      <c r="V5" s="4">
        <f t="shared" si="10"/>
        <v>0.831099195710456</v>
      </c>
      <c r="W5" s="4">
        <f t="shared" si="11"/>
        <v>0.890080428954424</v>
      </c>
      <c r="X5" s="4">
        <f t="shared" si="12"/>
        <v>1</v>
      </c>
    </row>
    <row r="6" ht="15.75" spans="1:24">
      <c r="A6" s="220" t="s">
        <v>11</v>
      </c>
      <c r="B6" s="4">
        <v>18587.57</v>
      </c>
      <c r="C6" s="4">
        <v>22455.23</v>
      </c>
      <c r="D6">
        <v>25967.29</v>
      </c>
      <c r="E6">
        <v>26935.38</v>
      </c>
      <c r="F6" s="4">
        <v>28719.79</v>
      </c>
      <c r="G6" s="4">
        <v>28879.88</v>
      </c>
      <c r="H6" s="4">
        <v>28321.13</v>
      </c>
      <c r="I6" s="4">
        <v>16733.14</v>
      </c>
      <c r="J6" s="4">
        <v>30740.16</v>
      </c>
      <c r="K6" s="4">
        <v>33423.81</v>
      </c>
      <c r="L6" s="4">
        <f t="shared" si="0"/>
        <v>33423.81</v>
      </c>
      <c r="M6" s="4">
        <f t="shared" si="1"/>
        <v>16733.14</v>
      </c>
      <c r="N6" s="4">
        <f t="shared" si="2"/>
        <v>16690.67</v>
      </c>
      <c r="O6" s="4">
        <f t="shared" si="3"/>
        <v>0.111105785447798</v>
      </c>
      <c r="P6" s="4">
        <f t="shared" si="4"/>
        <v>0.342831653852122</v>
      </c>
      <c r="Q6" s="4">
        <f t="shared" si="5"/>
        <v>0.55325220617267</v>
      </c>
      <c r="R6" s="4">
        <f t="shared" si="6"/>
        <v>0.61125407188567</v>
      </c>
      <c r="S6" s="4">
        <f t="shared" si="7"/>
        <v>0.718164699200212</v>
      </c>
      <c r="T6" s="4">
        <f t="shared" si="8"/>
        <v>0.72775628539777</v>
      </c>
      <c r="U6" s="4">
        <f t="shared" si="9"/>
        <v>0.694279498666021</v>
      </c>
      <c r="V6" s="4">
        <f t="shared" si="10"/>
        <v>0</v>
      </c>
      <c r="W6" s="4">
        <f t="shared" si="11"/>
        <v>0.839212566062357</v>
      </c>
      <c r="X6" s="4">
        <f t="shared" si="12"/>
        <v>1</v>
      </c>
    </row>
    <row r="7" ht="15.75" spans="1:24">
      <c r="A7" s="220" t="s">
        <v>12</v>
      </c>
      <c r="B7" s="4">
        <v>6012.97</v>
      </c>
      <c r="C7" s="4">
        <v>6349.39</v>
      </c>
      <c r="D7">
        <v>6751.68</v>
      </c>
      <c r="E7">
        <v>7246.6</v>
      </c>
      <c r="F7" s="113">
        <v>7621.42</v>
      </c>
      <c r="G7" s="4">
        <v>8009.51</v>
      </c>
      <c r="H7" s="4">
        <v>8834.48</v>
      </c>
      <c r="I7" s="4">
        <v>9550</v>
      </c>
      <c r="J7" s="4">
        <v>9454.5</v>
      </c>
      <c r="K7" s="4">
        <v>10750</v>
      </c>
      <c r="L7" s="4">
        <f t="shared" si="0"/>
        <v>10750</v>
      </c>
      <c r="M7" s="4">
        <f t="shared" si="1"/>
        <v>6012.97</v>
      </c>
      <c r="N7" s="4">
        <f t="shared" si="2"/>
        <v>4737.03</v>
      </c>
      <c r="O7" s="4">
        <f t="shared" si="3"/>
        <v>0</v>
      </c>
      <c r="P7" s="4">
        <f t="shared" si="4"/>
        <v>0.0710191829057448</v>
      </c>
      <c r="Q7" s="4">
        <f t="shared" si="5"/>
        <v>0.155943703121998</v>
      </c>
      <c r="R7" s="4">
        <f t="shared" si="6"/>
        <v>0.260422669900761</v>
      </c>
      <c r="S7" s="4">
        <f t="shared" si="7"/>
        <v>0.339548197921482</v>
      </c>
      <c r="T7" s="4">
        <f t="shared" si="8"/>
        <v>0.421475059267094</v>
      </c>
      <c r="U7" s="4">
        <f t="shared" si="9"/>
        <v>0.595628484514559</v>
      </c>
      <c r="V7" s="4">
        <f t="shared" si="10"/>
        <v>0.746676715156965</v>
      </c>
      <c r="W7" s="4">
        <f t="shared" si="11"/>
        <v>0.726516403738207</v>
      </c>
      <c r="X7" s="4">
        <f t="shared" si="12"/>
        <v>1</v>
      </c>
    </row>
    <row r="8" ht="15.75" spans="1:24">
      <c r="A8" s="220" t="s">
        <v>13</v>
      </c>
      <c r="B8" s="4">
        <v>37711.76</v>
      </c>
      <c r="C8" s="4">
        <v>41218.47</v>
      </c>
      <c r="D8">
        <v>44371.99</v>
      </c>
      <c r="E8">
        <v>47973.64</v>
      </c>
      <c r="F8" s="4">
        <v>51186.62</v>
      </c>
      <c r="G8" s="4">
        <v>63875.67</v>
      </c>
      <c r="H8" s="4">
        <v>64037.39</v>
      </c>
      <c r="I8" s="4">
        <v>37835.6</v>
      </c>
      <c r="J8" s="4">
        <v>66432.89</v>
      </c>
      <c r="K8" s="4">
        <v>74449.13</v>
      </c>
      <c r="L8" s="4">
        <f t="shared" si="0"/>
        <v>74449.13</v>
      </c>
      <c r="M8" s="4">
        <f t="shared" si="1"/>
        <v>37711.76</v>
      </c>
      <c r="N8" s="4">
        <f t="shared" si="2"/>
        <v>36737.37</v>
      </c>
      <c r="O8" s="4">
        <f t="shared" si="3"/>
        <v>0</v>
      </c>
      <c r="P8" s="4">
        <f t="shared" si="4"/>
        <v>0.0954534851024991</v>
      </c>
      <c r="Q8" s="4">
        <f t="shared" si="5"/>
        <v>0.181293053912133</v>
      </c>
      <c r="R8" s="4">
        <f t="shared" si="6"/>
        <v>0.279330828526919</v>
      </c>
      <c r="S8" s="4">
        <f t="shared" si="7"/>
        <v>0.366788912761039</v>
      </c>
      <c r="T8" s="4">
        <f t="shared" si="8"/>
        <v>0.712187889334484</v>
      </c>
      <c r="U8" s="4">
        <f t="shared" si="9"/>
        <v>0.716589946422403</v>
      </c>
      <c r="V8" s="4">
        <f t="shared" si="10"/>
        <v>0.00337095442596997</v>
      </c>
      <c r="W8" s="4">
        <f t="shared" si="11"/>
        <v>0.781796029492585</v>
      </c>
      <c r="X8" s="4">
        <f t="shared" si="12"/>
        <v>1</v>
      </c>
    </row>
    <row r="9" ht="15.75" spans="1:24">
      <c r="A9" s="220" t="s">
        <v>14</v>
      </c>
      <c r="B9" s="4">
        <v>99.47</v>
      </c>
      <c r="C9" s="4">
        <v>99.56</v>
      </c>
      <c r="D9">
        <v>99.61</v>
      </c>
      <c r="E9">
        <v>99.64</v>
      </c>
      <c r="F9" s="4">
        <v>99.68</v>
      </c>
      <c r="G9" s="4">
        <v>99.73</v>
      </c>
      <c r="H9" s="4">
        <v>99.73</v>
      </c>
      <c r="I9" s="4">
        <v>99.77</v>
      </c>
      <c r="J9" s="4">
        <v>99.78</v>
      </c>
      <c r="K9" s="4">
        <v>99.8</v>
      </c>
      <c r="L9" s="4">
        <f t="shared" si="0"/>
        <v>99.8</v>
      </c>
      <c r="M9" s="4">
        <f t="shared" si="1"/>
        <v>99.47</v>
      </c>
      <c r="N9" s="4">
        <f t="shared" si="2"/>
        <v>0.329999999999998</v>
      </c>
      <c r="O9" s="4">
        <f t="shared" si="3"/>
        <v>0</v>
      </c>
      <c r="P9" s="4">
        <f t="shared" si="4"/>
        <v>0.272727272727284</v>
      </c>
      <c r="Q9" s="4">
        <f t="shared" si="5"/>
        <v>0.424242424242428</v>
      </c>
      <c r="R9" s="4">
        <f t="shared" si="6"/>
        <v>0.515151515151523</v>
      </c>
      <c r="S9" s="4">
        <f t="shared" si="7"/>
        <v>0.636363636363664</v>
      </c>
      <c r="T9" s="4">
        <f t="shared" si="8"/>
        <v>0.787878787878807</v>
      </c>
      <c r="U9" s="4">
        <f t="shared" si="9"/>
        <v>0.787878787878807</v>
      </c>
      <c r="V9" s="4">
        <f t="shared" si="10"/>
        <v>0.909090909090905</v>
      </c>
      <c r="W9" s="4">
        <f t="shared" si="11"/>
        <v>0.939393939393951</v>
      </c>
      <c r="X9" s="4">
        <f t="shared" si="12"/>
        <v>1</v>
      </c>
    </row>
    <row r="10" ht="15.75" spans="1:24">
      <c r="A10" s="220" t="s">
        <v>15</v>
      </c>
      <c r="B10" s="4">
        <v>58.9</v>
      </c>
      <c r="C10" s="4">
        <v>58.78</v>
      </c>
      <c r="D10">
        <v>58.6</v>
      </c>
      <c r="E10">
        <v>58.5</v>
      </c>
      <c r="F10" s="4">
        <v>58.26</v>
      </c>
      <c r="G10" s="4">
        <v>58.02</v>
      </c>
      <c r="H10" s="4">
        <v>57.96</v>
      </c>
      <c r="I10" s="4">
        <v>57.9</v>
      </c>
      <c r="J10" s="4">
        <v>57.44</v>
      </c>
      <c r="K10" s="4">
        <v>57.06</v>
      </c>
      <c r="L10" s="4">
        <f t="shared" si="0"/>
        <v>58.9</v>
      </c>
      <c r="M10" s="4">
        <f t="shared" si="1"/>
        <v>57.06</v>
      </c>
      <c r="N10" s="4">
        <f t="shared" si="2"/>
        <v>1.84</v>
      </c>
      <c r="O10" s="4">
        <f t="shared" si="3"/>
        <v>1</v>
      </c>
      <c r="P10" s="4">
        <f t="shared" si="4"/>
        <v>0.934782608695653</v>
      </c>
      <c r="Q10" s="4">
        <f t="shared" si="5"/>
        <v>0.836956521739132</v>
      </c>
      <c r="R10" s="4">
        <f t="shared" si="6"/>
        <v>0.782608695652174</v>
      </c>
      <c r="S10" s="4">
        <f t="shared" si="7"/>
        <v>0.652173913043477</v>
      </c>
      <c r="T10" s="4">
        <f t="shared" si="8"/>
        <v>0.521739130434784</v>
      </c>
      <c r="U10" s="4">
        <f t="shared" si="9"/>
        <v>0.489130434782609</v>
      </c>
      <c r="V10" s="4">
        <f t="shared" si="10"/>
        <v>0.456521739130434</v>
      </c>
      <c r="W10" s="4">
        <f t="shared" si="11"/>
        <v>0.206521739130433</v>
      </c>
      <c r="X10" s="4">
        <f t="shared" si="12"/>
        <v>0</v>
      </c>
    </row>
    <row r="11" ht="15.75" spans="1:24">
      <c r="A11" s="220" t="s">
        <v>16</v>
      </c>
      <c r="B11" s="4">
        <v>31.9</v>
      </c>
      <c r="C11" s="4">
        <v>32.27</v>
      </c>
      <c r="D11">
        <v>32.63</v>
      </c>
      <c r="E11">
        <v>32.98</v>
      </c>
      <c r="F11" s="4">
        <v>33.44</v>
      </c>
      <c r="G11" s="4">
        <v>33.81</v>
      </c>
      <c r="H11" s="4">
        <v>34.07</v>
      </c>
      <c r="I11" s="4">
        <v>34.2</v>
      </c>
      <c r="J11" s="4">
        <v>35.11</v>
      </c>
      <c r="K11" s="4">
        <v>35.6</v>
      </c>
      <c r="L11" s="4">
        <f t="shared" si="0"/>
        <v>35.6</v>
      </c>
      <c r="M11" s="4">
        <f t="shared" si="1"/>
        <v>31.9</v>
      </c>
      <c r="N11" s="4">
        <f t="shared" si="2"/>
        <v>3.7</v>
      </c>
      <c r="O11" s="4">
        <f t="shared" si="3"/>
        <v>0</v>
      </c>
      <c r="P11" s="4">
        <f t="shared" si="4"/>
        <v>0.100000000000001</v>
      </c>
      <c r="Q11" s="4">
        <f t="shared" si="5"/>
        <v>0.197297297297298</v>
      </c>
      <c r="R11" s="4">
        <f t="shared" si="6"/>
        <v>0.291891891891891</v>
      </c>
      <c r="S11" s="4">
        <f t="shared" si="7"/>
        <v>0.416216216216216</v>
      </c>
      <c r="T11" s="4">
        <f t="shared" si="8"/>
        <v>0.516216216216217</v>
      </c>
      <c r="U11" s="4">
        <f t="shared" si="9"/>
        <v>0.586486486486486</v>
      </c>
      <c r="V11" s="4">
        <f t="shared" si="10"/>
        <v>0.621621621621622</v>
      </c>
      <c r="W11" s="4">
        <f t="shared" si="11"/>
        <v>0.867567567567567</v>
      </c>
      <c r="X11" s="4">
        <f t="shared" si="12"/>
        <v>1</v>
      </c>
    </row>
    <row r="12" spans="1:24">
      <c r="A12" s="218"/>
      <c r="B12" s="4"/>
      <c r="C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A13" s="218" t="s">
        <v>17</v>
      </c>
      <c r="B13" s="4">
        <v>0.053</v>
      </c>
      <c r="C13" s="4">
        <v>0.054</v>
      </c>
      <c r="D13">
        <v>0.056</v>
      </c>
      <c r="E13">
        <v>0.052</v>
      </c>
      <c r="F13" s="4">
        <v>0.05</v>
      </c>
      <c r="G13" s="4">
        <v>0.049</v>
      </c>
      <c r="H13" s="4">
        <v>0.048</v>
      </c>
      <c r="I13" s="4">
        <v>0.047</v>
      </c>
      <c r="J13" s="4">
        <v>0.045</v>
      </c>
      <c r="K13" s="4">
        <v>0.044</v>
      </c>
      <c r="L13" s="4">
        <f t="shared" ref="L13:L24" si="13">MAX(B13:K13)</f>
        <v>0.056</v>
      </c>
      <c r="M13" s="4">
        <f t="shared" ref="M13:M24" si="14">MIN(B13:K13)</f>
        <v>0.044</v>
      </c>
      <c r="N13" s="4">
        <f t="shared" ref="N13:N24" si="15">L13-M13</f>
        <v>0.012</v>
      </c>
      <c r="O13" s="4">
        <f t="shared" ref="O13:O18" si="16">(B13-M13)/N13</f>
        <v>0.75</v>
      </c>
      <c r="P13" s="4">
        <f t="shared" ref="P13:P18" si="17">(C13-M13)/N13</f>
        <v>0.833333333333333</v>
      </c>
      <c r="Q13" s="4">
        <f t="shared" ref="Q13:Q18" si="18">(D13-M13)/N13</f>
        <v>1</v>
      </c>
      <c r="R13" s="4">
        <f t="shared" ref="R13:R18" si="19">(E13-M13)/N13</f>
        <v>0.666666666666667</v>
      </c>
      <c r="S13" s="4">
        <f t="shared" ref="S13:S18" si="20">(F13-M13)/N13</f>
        <v>0.5</v>
      </c>
      <c r="T13" s="4">
        <f t="shared" ref="T13:T18" si="21">(G13-M13)/N13</f>
        <v>0.416666666666667</v>
      </c>
      <c r="U13" s="4">
        <f t="shared" ref="U13:U18" si="22">(H13-M13)/N13</f>
        <v>0.333333333333334</v>
      </c>
      <c r="V13" s="4">
        <f t="shared" ref="V13:V18" si="23">(I13-M13)/N13</f>
        <v>0.25</v>
      </c>
      <c r="W13" s="4">
        <f t="shared" ref="W13:W18" si="24">(J13-M13)/N13</f>
        <v>0.0833333333333334</v>
      </c>
      <c r="X13" s="4">
        <f t="shared" ref="X13:X18" si="25">(K13-M13)/N13</f>
        <v>0</v>
      </c>
    </row>
    <row r="14" ht="15.75" spans="1:24">
      <c r="A14" s="220" t="s">
        <v>18</v>
      </c>
      <c r="B14" s="4">
        <v>0.15</v>
      </c>
      <c r="C14" s="4">
        <v>0.14</v>
      </c>
      <c r="D14">
        <v>0.15</v>
      </c>
      <c r="E14">
        <v>0.16</v>
      </c>
      <c r="F14" s="4">
        <v>0.16</v>
      </c>
      <c r="G14" s="4">
        <v>0.13</v>
      </c>
      <c r="H14" s="4">
        <v>0.12</v>
      </c>
      <c r="I14" s="4">
        <v>0.12</v>
      </c>
      <c r="J14" s="4">
        <v>0.11</v>
      </c>
      <c r="K14" s="4">
        <v>0.09</v>
      </c>
      <c r="L14" s="4">
        <f t="shared" si="13"/>
        <v>0.16</v>
      </c>
      <c r="M14" s="4">
        <f t="shared" si="14"/>
        <v>0.09</v>
      </c>
      <c r="N14" s="4">
        <f t="shared" si="15"/>
        <v>0.07</v>
      </c>
      <c r="O14" s="4">
        <f t="shared" si="16"/>
        <v>0.857142857142857</v>
      </c>
      <c r="P14" s="4">
        <f t="shared" si="17"/>
        <v>0.714285714285714</v>
      </c>
      <c r="Q14" s="4">
        <f t="shared" si="18"/>
        <v>0.857142857142857</v>
      </c>
      <c r="R14" s="4">
        <f t="shared" si="19"/>
        <v>1</v>
      </c>
      <c r="S14" s="4">
        <f t="shared" si="20"/>
        <v>1</v>
      </c>
      <c r="T14" s="4">
        <f t="shared" si="21"/>
        <v>0.571428571428572</v>
      </c>
      <c r="U14" s="4">
        <f t="shared" si="22"/>
        <v>0.428571428571428</v>
      </c>
      <c r="V14" s="4">
        <f t="shared" si="23"/>
        <v>0.428571428571428</v>
      </c>
      <c r="W14" s="4">
        <f t="shared" si="24"/>
        <v>0.285714285714286</v>
      </c>
      <c r="X14" s="4">
        <f t="shared" si="25"/>
        <v>0</v>
      </c>
    </row>
    <row r="15" spans="1:24">
      <c r="A15" s="218" t="s">
        <v>19</v>
      </c>
      <c r="B15" s="41">
        <v>0.1926</v>
      </c>
      <c r="C15" s="41">
        <v>0.2345</v>
      </c>
      <c r="D15" s="41">
        <v>0.2421</v>
      </c>
      <c r="E15" s="41">
        <v>0.2458</v>
      </c>
      <c r="F15" s="41">
        <v>0.2282</v>
      </c>
      <c r="G15" s="41">
        <v>0.2114</v>
      </c>
      <c r="H15" s="41">
        <v>0.2076</v>
      </c>
      <c r="I15" s="41">
        <v>0.1999</v>
      </c>
      <c r="J15" s="41">
        <v>0.1735</v>
      </c>
      <c r="K15" s="41">
        <v>0.1342</v>
      </c>
      <c r="L15" s="4">
        <f t="shared" si="13"/>
        <v>0.2458</v>
      </c>
      <c r="M15" s="4">
        <f t="shared" si="14"/>
        <v>0.1342</v>
      </c>
      <c r="N15" s="4">
        <f t="shared" si="15"/>
        <v>0.1116</v>
      </c>
      <c r="O15" s="4">
        <f t="shared" si="16"/>
        <v>0.523297491039426</v>
      </c>
      <c r="P15" s="4">
        <f t="shared" si="17"/>
        <v>0.898745519713262</v>
      </c>
      <c r="Q15" s="4">
        <f t="shared" si="18"/>
        <v>0.966845878136201</v>
      </c>
      <c r="R15" s="4">
        <f t="shared" si="19"/>
        <v>1</v>
      </c>
      <c r="S15" s="4">
        <f t="shared" si="20"/>
        <v>0.842293906810036</v>
      </c>
      <c r="T15" s="4">
        <f t="shared" si="21"/>
        <v>0.691756272401434</v>
      </c>
      <c r="U15" s="4">
        <f t="shared" si="22"/>
        <v>0.657706093189964</v>
      </c>
      <c r="V15" s="4">
        <f t="shared" si="23"/>
        <v>0.588709677419355</v>
      </c>
      <c r="W15" s="4">
        <f t="shared" si="24"/>
        <v>0.352150537634408</v>
      </c>
      <c r="X15" s="4">
        <f t="shared" si="25"/>
        <v>0</v>
      </c>
    </row>
    <row r="16" spans="1:24">
      <c r="A16" s="218" t="s">
        <v>20</v>
      </c>
      <c r="B16" s="4">
        <v>38.42</v>
      </c>
      <c r="C16" s="4">
        <v>38.49</v>
      </c>
      <c r="D16">
        <v>38.59</v>
      </c>
      <c r="E16">
        <v>39.1</v>
      </c>
      <c r="F16" s="4">
        <v>39.4</v>
      </c>
      <c r="G16" s="4">
        <v>39.7</v>
      </c>
      <c r="H16" s="4">
        <v>37.32</v>
      </c>
      <c r="I16" s="4">
        <v>37.7</v>
      </c>
      <c r="J16" s="4">
        <v>38.1</v>
      </c>
      <c r="K16" s="4">
        <v>37.8</v>
      </c>
      <c r="L16" s="4">
        <f t="shared" si="13"/>
        <v>39.7</v>
      </c>
      <c r="M16" s="4">
        <f t="shared" si="14"/>
        <v>37.32</v>
      </c>
      <c r="N16" s="4">
        <f t="shared" si="15"/>
        <v>2.38</v>
      </c>
      <c r="O16" s="4">
        <f t="shared" si="16"/>
        <v>0.46218487394958</v>
      </c>
      <c r="P16" s="4">
        <f t="shared" si="17"/>
        <v>0.491596638655462</v>
      </c>
      <c r="Q16" s="4">
        <f t="shared" si="18"/>
        <v>0.533613445378152</v>
      </c>
      <c r="R16" s="4">
        <f t="shared" si="19"/>
        <v>0.747899159663865</v>
      </c>
      <c r="S16" s="4">
        <f t="shared" si="20"/>
        <v>0.873949579831931</v>
      </c>
      <c r="T16" s="4">
        <f t="shared" si="21"/>
        <v>1</v>
      </c>
      <c r="U16" s="4">
        <f t="shared" si="22"/>
        <v>0</v>
      </c>
      <c r="V16" s="4">
        <f t="shared" si="23"/>
        <v>0.159663865546219</v>
      </c>
      <c r="W16" s="4">
        <f t="shared" si="24"/>
        <v>0.327731092436975</v>
      </c>
      <c r="X16" s="4">
        <f t="shared" si="25"/>
        <v>0.201680672268906</v>
      </c>
    </row>
    <row r="17" spans="1:24">
      <c r="A17" s="218" t="s">
        <v>21</v>
      </c>
      <c r="B17" s="4">
        <v>7.21</v>
      </c>
      <c r="C17" s="4">
        <v>7.48</v>
      </c>
      <c r="D17">
        <v>7.68</v>
      </c>
      <c r="E17">
        <v>8.03</v>
      </c>
      <c r="F17" s="4">
        <v>8.32</v>
      </c>
      <c r="G17">
        <v>8.63</v>
      </c>
      <c r="H17" s="4">
        <v>8.83</v>
      </c>
      <c r="I17" s="4">
        <v>5.22</v>
      </c>
      <c r="J17" s="4">
        <v>9.29</v>
      </c>
      <c r="K17" s="4">
        <v>9.45</v>
      </c>
      <c r="L17" s="4">
        <f t="shared" si="13"/>
        <v>9.45</v>
      </c>
      <c r="M17" s="4">
        <f t="shared" si="14"/>
        <v>5.22</v>
      </c>
      <c r="N17" s="4">
        <f t="shared" si="15"/>
        <v>4.23</v>
      </c>
      <c r="O17" s="4">
        <f t="shared" si="16"/>
        <v>0.470449172576832</v>
      </c>
      <c r="P17" s="4">
        <f t="shared" si="17"/>
        <v>0.534278959810875</v>
      </c>
      <c r="Q17" s="4">
        <f t="shared" si="18"/>
        <v>0.581560283687943</v>
      </c>
      <c r="R17" s="4">
        <f t="shared" si="19"/>
        <v>0.664302600472813</v>
      </c>
      <c r="S17" s="4">
        <f t="shared" si="20"/>
        <v>0.732860520094563</v>
      </c>
      <c r="T17" s="4">
        <f t="shared" si="21"/>
        <v>0.806146572104019</v>
      </c>
      <c r="U17" s="4">
        <f t="shared" si="22"/>
        <v>0.853427895981088</v>
      </c>
      <c r="V17" s="4">
        <f t="shared" si="23"/>
        <v>0</v>
      </c>
      <c r="W17" s="4">
        <f t="shared" si="24"/>
        <v>0.962174940898345</v>
      </c>
      <c r="X17" s="4">
        <f t="shared" si="25"/>
        <v>1</v>
      </c>
    </row>
    <row r="18" spans="1:24">
      <c r="A18" s="218" t="s">
        <v>22</v>
      </c>
      <c r="B18" s="4">
        <v>89.8</v>
      </c>
      <c r="C18" s="4">
        <v>91</v>
      </c>
      <c r="D18">
        <v>93.44</v>
      </c>
      <c r="E18">
        <v>94.5</v>
      </c>
      <c r="F18" s="4">
        <v>95.2</v>
      </c>
      <c r="G18">
        <v>95.49</v>
      </c>
      <c r="H18" s="4">
        <v>95</v>
      </c>
      <c r="I18" s="4">
        <v>96.89</v>
      </c>
      <c r="J18" s="4">
        <v>98.04</v>
      </c>
      <c r="K18" s="4">
        <v>98.4</v>
      </c>
      <c r="L18" s="4">
        <f t="shared" si="13"/>
        <v>98.4</v>
      </c>
      <c r="M18" s="4">
        <f t="shared" si="14"/>
        <v>89.8</v>
      </c>
      <c r="N18" s="4">
        <f t="shared" si="15"/>
        <v>8.60000000000001</v>
      </c>
      <c r="O18" s="4">
        <f t="shared" si="16"/>
        <v>0</v>
      </c>
      <c r="P18" s="4">
        <f t="shared" si="17"/>
        <v>0.13953488372093</v>
      </c>
      <c r="Q18" s="4">
        <f t="shared" si="18"/>
        <v>0.423255813953488</v>
      </c>
      <c r="R18" s="4">
        <f t="shared" si="19"/>
        <v>0.546511627906976</v>
      </c>
      <c r="S18" s="4">
        <f t="shared" si="20"/>
        <v>0.627906976744186</v>
      </c>
      <c r="T18" s="4">
        <f t="shared" si="21"/>
        <v>0.661627906976743</v>
      </c>
      <c r="U18" s="4">
        <f t="shared" si="22"/>
        <v>0.604651162790697</v>
      </c>
      <c r="V18" s="4">
        <f t="shared" si="23"/>
        <v>0.824418604651162</v>
      </c>
      <c r="W18" s="4">
        <f t="shared" si="24"/>
        <v>0.958139534883721</v>
      </c>
      <c r="X18" s="4">
        <f t="shared" si="25"/>
        <v>1</v>
      </c>
    </row>
    <row r="19" spans="1:24">
      <c r="A19" s="218" t="s">
        <v>23</v>
      </c>
      <c r="B19" s="4">
        <v>43939</v>
      </c>
      <c r="C19" s="4">
        <v>46900</v>
      </c>
      <c r="D19">
        <v>36599</v>
      </c>
      <c r="E19">
        <v>31586</v>
      </c>
      <c r="F19" s="4">
        <v>29144</v>
      </c>
      <c r="G19">
        <v>34138</v>
      </c>
      <c r="H19" s="4">
        <v>31200</v>
      </c>
      <c r="I19" s="4">
        <v>32100</v>
      </c>
      <c r="J19" s="4">
        <v>32300</v>
      </c>
      <c r="K19" s="4">
        <v>30600</v>
      </c>
      <c r="L19" s="4">
        <f t="shared" si="13"/>
        <v>46900</v>
      </c>
      <c r="M19" s="4">
        <f t="shared" si="14"/>
        <v>29144</v>
      </c>
      <c r="N19" s="4">
        <f t="shared" si="15"/>
        <v>17756</v>
      </c>
      <c r="O19" s="4">
        <f>(L19-B19)/N19</f>
        <v>0.166760531651273</v>
      </c>
      <c r="P19" s="4">
        <f>(L19-C19)/N19</f>
        <v>0</v>
      </c>
      <c r="Q19" s="4">
        <f>(L19-D19)/N19</f>
        <v>0.580141923856724</v>
      </c>
      <c r="R19" s="4">
        <f>(L19-E19)/N19</f>
        <v>0.86246902455508</v>
      </c>
      <c r="S19" s="4">
        <f>(L19-F19)/N19</f>
        <v>1</v>
      </c>
      <c r="T19" s="4">
        <f>(L19-G19)/N19</f>
        <v>0.718742960126155</v>
      </c>
      <c r="U19" s="4">
        <f>(L19-H19)/N19</f>
        <v>0.884208154989863</v>
      </c>
      <c r="V19" s="4">
        <f>(L19-I19)/N19</f>
        <v>0.833521063302546</v>
      </c>
      <c r="W19" s="4">
        <f>(L19-J19)/N19</f>
        <v>0.822257265149809</v>
      </c>
      <c r="X19" s="4">
        <f>(L19-K19)/N19</f>
        <v>0.917999549448074</v>
      </c>
    </row>
    <row r="20" spans="1:24">
      <c r="A20" s="218" t="s">
        <v>24</v>
      </c>
      <c r="B20" s="4">
        <v>155360</v>
      </c>
      <c r="C20" s="4">
        <v>104900</v>
      </c>
      <c r="D20">
        <v>67376</v>
      </c>
      <c r="E20">
        <v>12651</v>
      </c>
      <c r="F20" s="4">
        <v>9100</v>
      </c>
      <c r="G20">
        <v>7646</v>
      </c>
      <c r="H20" s="4">
        <v>5200</v>
      </c>
      <c r="I20" s="4">
        <v>5800</v>
      </c>
      <c r="J20" s="4">
        <v>6500</v>
      </c>
      <c r="K20" s="4">
        <v>6300</v>
      </c>
      <c r="L20" s="4">
        <f t="shared" si="13"/>
        <v>155360</v>
      </c>
      <c r="M20" s="4">
        <f t="shared" si="14"/>
        <v>5200</v>
      </c>
      <c r="N20" s="4">
        <f t="shared" si="15"/>
        <v>150160</v>
      </c>
      <c r="O20" s="4">
        <f>(L20-B20)/N20</f>
        <v>0</v>
      </c>
      <c r="P20" s="4">
        <f>(L20-C20)/N20</f>
        <v>0.336041555673948</v>
      </c>
      <c r="Q20" s="4">
        <f>(L20-D20)/N20</f>
        <v>0.585935002663825</v>
      </c>
      <c r="R20" s="4">
        <f>(L20-E20)/N20</f>
        <v>0.950379595098562</v>
      </c>
      <c r="S20" s="4">
        <f>(L20-F20)/N20</f>
        <v>0.974027703782632</v>
      </c>
      <c r="T20" s="4">
        <f>(L20-G20)/N20</f>
        <v>0.983710708577517</v>
      </c>
      <c r="U20" s="4">
        <f>(L20-H20)/N20</f>
        <v>1</v>
      </c>
      <c r="V20" s="4">
        <f>(L20-I20)/N20</f>
        <v>0.996004262120405</v>
      </c>
      <c r="W20" s="4">
        <f>(L20-J20)/N20</f>
        <v>0.991342567927544</v>
      </c>
      <c r="X20" s="4">
        <f>(L20-K20)/N20</f>
        <v>0.992674480554076</v>
      </c>
    </row>
    <row r="21" ht="15.75" spans="1:24">
      <c r="A21" s="220" t="s">
        <v>25</v>
      </c>
      <c r="B21" s="4">
        <v>100</v>
      </c>
      <c r="C21" s="4">
        <v>99.96</v>
      </c>
      <c r="D21">
        <v>99.9</v>
      </c>
      <c r="E21">
        <v>99.92</v>
      </c>
      <c r="F21" s="4">
        <v>99.79</v>
      </c>
      <c r="G21" s="4">
        <v>99.54</v>
      </c>
      <c r="H21" s="4">
        <v>99.53</v>
      </c>
      <c r="I21" s="4">
        <v>99.5</v>
      </c>
      <c r="J21" s="4">
        <v>99.23</v>
      </c>
      <c r="K21" s="4">
        <v>98.88</v>
      </c>
      <c r="L21" s="4">
        <f t="shared" si="13"/>
        <v>100</v>
      </c>
      <c r="M21" s="4">
        <f t="shared" si="14"/>
        <v>98.88</v>
      </c>
      <c r="N21" s="4">
        <f t="shared" si="15"/>
        <v>1.12</v>
      </c>
      <c r="O21" s="4">
        <f t="shared" ref="O21:O24" si="26">(B21-M21)/N21</f>
        <v>1</v>
      </c>
      <c r="P21" s="4">
        <f t="shared" ref="P21:P24" si="27">(C21-M21)/N21</f>
        <v>0.964285714285709</v>
      </c>
      <c r="Q21" s="4">
        <f t="shared" ref="Q21:Q24" si="28">(D21-M21)/N21</f>
        <v>0.910714285714291</v>
      </c>
      <c r="R21" s="4">
        <f t="shared" ref="R21:R24" si="29">(E21-M21)/N21</f>
        <v>0.92857142857143</v>
      </c>
      <c r="S21" s="4">
        <f t="shared" ref="S21:S24" si="30">(F21-M21)/N21</f>
        <v>0.812500000000006</v>
      </c>
      <c r="T21" s="4">
        <f t="shared" ref="T21:T24" si="31">(G21-M21)/N21</f>
        <v>0.589285714285722</v>
      </c>
      <c r="U21" s="4">
        <f t="shared" ref="U21:U24" si="32">(H21-M21)/N21</f>
        <v>0.580357142857146</v>
      </c>
      <c r="V21" s="4">
        <f t="shared" ref="V21:V24" si="33">(I21-M21)/N21</f>
        <v>0.55357142857143</v>
      </c>
      <c r="W21" s="4">
        <f t="shared" ref="W21:W24" si="34">(J21-M21)/N21</f>
        <v>0.312500000000006</v>
      </c>
      <c r="X21" s="4">
        <f t="shared" ref="X21:X24" si="35">(K21-M21)/N21</f>
        <v>0</v>
      </c>
    </row>
    <row r="22" ht="15.75" spans="1:24">
      <c r="A22" s="220" t="s">
        <v>26</v>
      </c>
      <c r="B22" s="4">
        <v>100</v>
      </c>
      <c r="C22" s="4">
        <v>99.33</v>
      </c>
      <c r="D22">
        <v>98.78</v>
      </c>
      <c r="E22">
        <v>98.16</v>
      </c>
      <c r="F22" s="4">
        <v>97.45</v>
      </c>
      <c r="G22" s="4">
        <v>96.96</v>
      </c>
      <c r="H22" s="4">
        <v>96.45</v>
      </c>
      <c r="I22" s="4">
        <v>96.27</v>
      </c>
      <c r="J22" s="4">
        <v>94.93</v>
      </c>
      <c r="K22" s="4">
        <v>94.38</v>
      </c>
      <c r="L22" s="4">
        <f t="shared" si="13"/>
        <v>100</v>
      </c>
      <c r="M22" s="4">
        <f t="shared" si="14"/>
        <v>94.38</v>
      </c>
      <c r="N22" s="4">
        <f t="shared" si="15"/>
        <v>5.62</v>
      </c>
      <c r="O22" s="4">
        <f t="shared" si="26"/>
        <v>1</v>
      </c>
      <c r="P22" s="4">
        <f t="shared" si="27"/>
        <v>0.880782918149466</v>
      </c>
      <c r="Q22" s="4">
        <f t="shared" si="28"/>
        <v>0.782918149466193</v>
      </c>
      <c r="R22" s="4">
        <f t="shared" si="29"/>
        <v>0.672597864768683</v>
      </c>
      <c r="S22" s="4">
        <f t="shared" si="30"/>
        <v>0.54626334519573</v>
      </c>
      <c r="T22" s="4">
        <f t="shared" si="31"/>
        <v>0.459074733096085</v>
      </c>
      <c r="U22" s="4">
        <f t="shared" si="32"/>
        <v>0.368327402135232</v>
      </c>
      <c r="V22" s="4">
        <f t="shared" si="33"/>
        <v>0.336298932384341</v>
      </c>
      <c r="W22" s="4">
        <f t="shared" si="34"/>
        <v>0.097864768683276</v>
      </c>
      <c r="X22" s="4">
        <f t="shared" si="35"/>
        <v>0</v>
      </c>
    </row>
    <row r="23" spans="1:24">
      <c r="A23" s="221" t="s">
        <v>27</v>
      </c>
      <c r="B23" s="218">
        <v>0.5504</v>
      </c>
      <c r="C23" s="218">
        <v>0.5577</v>
      </c>
      <c r="D23" s="218">
        <v>0.5467</v>
      </c>
      <c r="E23" s="218">
        <v>0.5505</v>
      </c>
      <c r="F23" s="218">
        <v>0.5668</v>
      </c>
      <c r="G23" s="218">
        <v>0.5655</v>
      </c>
      <c r="H23" s="218">
        <v>0.5581</v>
      </c>
      <c r="I23" s="218">
        <v>0.5642</v>
      </c>
      <c r="J23" s="218">
        <v>0.5717</v>
      </c>
      <c r="K23" s="218">
        <v>0.5663</v>
      </c>
      <c r="L23" s="4">
        <f t="shared" si="13"/>
        <v>0.5717</v>
      </c>
      <c r="M23" s="4">
        <f t="shared" si="14"/>
        <v>0.5467</v>
      </c>
      <c r="N23" s="4">
        <f t="shared" si="15"/>
        <v>0.025</v>
      </c>
      <c r="O23" s="4">
        <f t="shared" si="26"/>
        <v>0.148000000000001</v>
      </c>
      <c r="P23" s="4">
        <f t="shared" si="27"/>
        <v>0.44</v>
      </c>
      <c r="Q23" s="4">
        <f t="shared" si="28"/>
        <v>0</v>
      </c>
      <c r="R23" s="4">
        <f t="shared" si="29"/>
        <v>0.152000000000001</v>
      </c>
      <c r="S23" s="4">
        <f t="shared" si="30"/>
        <v>0.804</v>
      </c>
      <c r="T23" s="4">
        <f t="shared" si="31"/>
        <v>0.752000000000001</v>
      </c>
      <c r="U23" s="4">
        <f t="shared" si="32"/>
        <v>0.456000000000003</v>
      </c>
      <c r="V23" s="4">
        <f t="shared" si="33"/>
        <v>0.700000000000002</v>
      </c>
      <c r="W23" s="4">
        <f t="shared" si="34"/>
        <v>1</v>
      </c>
      <c r="X23" s="4">
        <f t="shared" si="35"/>
        <v>0.784000000000002</v>
      </c>
    </row>
    <row r="24" spans="1:24">
      <c r="A24" s="221" t="s">
        <v>28</v>
      </c>
      <c r="B24" s="218">
        <v>0.8347</v>
      </c>
      <c r="C24" s="218">
        <v>0.887</v>
      </c>
      <c r="D24" s="218">
        <v>0.7984</v>
      </c>
      <c r="E24" s="218">
        <v>0.8191</v>
      </c>
      <c r="F24" s="218">
        <v>0.8898</v>
      </c>
      <c r="G24" s="218">
        <v>0.8338</v>
      </c>
      <c r="H24" s="218">
        <v>0.8469</v>
      </c>
      <c r="I24" s="218">
        <v>0.8843</v>
      </c>
      <c r="J24" s="218">
        <v>0.9309</v>
      </c>
      <c r="K24" s="218">
        <v>0.8764</v>
      </c>
      <c r="L24" s="4">
        <f t="shared" si="13"/>
        <v>0.9309</v>
      </c>
      <c r="M24" s="4">
        <f t="shared" si="14"/>
        <v>0.7984</v>
      </c>
      <c r="N24" s="4">
        <f t="shared" si="15"/>
        <v>0.1325</v>
      </c>
      <c r="O24" s="4">
        <f t="shared" si="26"/>
        <v>0.273962264150943</v>
      </c>
      <c r="P24" s="4">
        <f t="shared" si="27"/>
        <v>0.668679245283019</v>
      </c>
      <c r="Q24" s="4">
        <f t="shared" si="28"/>
        <v>0</v>
      </c>
      <c r="R24" s="4">
        <f t="shared" si="29"/>
        <v>0.15622641509434</v>
      </c>
      <c r="S24" s="4">
        <f t="shared" si="30"/>
        <v>0.689811320754718</v>
      </c>
      <c r="T24" s="4">
        <f t="shared" si="31"/>
        <v>0.267169811320755</v>
      </c>
      <c r="U24" s="4">
        <f t="shared" si="32"/>
        <v>0.366037735849057</v>
      </c>
      <c r="V24" s="4">
        <f t="shared" si="33"/>
        <v>0.648301886792453</v>
      </c>
      <c r="W24" s="4">
        <f t="shared" si="34"/>
        <v>1</v>
      </c>
      <c r="X24" s="4">
        <f t="shared" si="35"/>
        <v>0.588679245283019</v>
      </c>
    </row>
    <row r="25" spans="1:24">
      <c r="L25" s="4"/>
      <c r="M25" s="4"/>
      <c r="N25" s="4"/>
      <c r="O25" s="4"/>
      <c r="P25" s="4"/>
      <c r="Q25" s="4"/>
      <c r="R25" s="4"/>
      <c r="S25" s="4"/>
      <c r="T25" s="4"/>
    </row>
    <row r="26" spans="1:24">
      <c r="L26" s="4"/>
      <c r="M26" s="4"/>
      <c r="N26" s="4"/>
      <c r="O26" s="4">
        <v>2014</v>
      </c>
      <c r="P26" s="4">
        <v>2015</v>
      </c>
      <c r="Q26" s="4">
        <v>2016</v>
      </c>
      <c r="R26" s="4">
        <v>2017</v>
      </c>
      <c r="S26" s="4">
        <v>2018</v>
      </c>
      <c r="T26" s="4">
        <v>2019</v>
      </c>
      <c r="U26" s="4">
        <v>2020</v>
      </c>
      <c r="V26" s="4">
        <v>2021</v>
      </c>
      <c r="W26" s="4">
        <v>2022</v>
      </c>
      <c r="X26" s="4">
        <v>2023</v>
      </c>
    </row>
    <row r="27" spans="1:24">
      <c r="L27" s="4"/>
      <c r="M27" s="4"/>
      <c r="N27" s="4"/>
      <c r="O27" s="4">
        <f t="shared" ref="O27:X27" si="36">ROUND(O2,4)+0.0001</f>
        <v>0.0001</v>
      </c>
      <c r="P27" s="4">
        <f t="shared" si="36"/>
        <v>0.0659</v>
      </c>
      <c r="Q27" s="4">
        <f t="shared" si="36"/>
        <v>0.1951</v>
      </c>
      <c r="R27" s="4">
        <f t="shared" si="36"/>
        <v>0.2988</v>
      </c>
      <c r="S27" s="4">
        <f t="shared" si="36"/>
        <v>0.3854</v>
      </c>
      <c r="T27" s="4">
        <f t="shared" si="36"/>
        <v>0.6169</v>
      </c>
      <c r="U27" s="4">
        <f t="shared" si="36"/>
        <v>0.64</v>
      </c>
      <c r="V27" s="4">
        <f t="shared" si="36"/>
        <v>0.8308</v>
      </c>
      <c r="W27" s="4">
        <f t="shared" si="36"/>
        <v>0.8916</v>
      </c>
      <c r="X27" s="4">
        <f t="shared" si="36"/>
        <v>1.0001</v>
      </c>
    </row>
    <row r="28" spans="1:24">
      <c r="L28" s="4"/>
      <c r="M28" s="4"/>
      <c r="N28" s="4"/>
      <c r="O28" s="4">
        <f t="shared" ref="O28:X28" si="37">ROUND(O3,4)+0.0001</f>
        <v>0.2904</v>
      </c>
      <c r="P28" s="4">
        <f t="shared" si="37"/>
        <v>0.0001</v>
      </c>
      <c r="Q28" s="4">
        <f t="shared" si="37"/>
        <v>0.2904</v>
      </c>
      <c r="R28" s="4">
        <f t="shared" si="37"/>
        <v>0.2582</v>
      </c>
      <c r="S28" s="4">
        <f t="shared" si="37"/>
        <v>0.5485</v>
      </c>
      <c r="T28" s="4">
        <f t="shared" si="37"/>
        <v>0.742</v>
      </c>
      <c r="U28" s="4">
        <f t="shared" si="37"/>
        <v>0.9678</v>
      </c>
      <c r="V28" s="4">
        <f t="shared" si="37"/>
        <v>1.0001</v>
      </c>
      <c r="W28" s="4">
        <f t="shared" si="37"/>
        <v>0.5485</v>
      </c>
      <c r="X28" s="4">
        <f t="shared" si="37"/>
        <v>0.9356</v>
      </c>
    </row>
    <row r="29" spans="1:24">
      <c r="L29" s="4"/>
      <c r="M29" s="4"/>
      <c r="N29" s="4"/>
      <c r="O29" s="4">
        <f t="shared" ref="O29:X29" si="38">ROUND(O4,4)+0.0001</f>
        <v>0.2139</v>
      </c>
      <c r="P29" s="4">
        <f t="shared" si="38"/>
        <v>0.1946</v>
      </c>
      <c r="Q29" s="4">
        <f t="shared" si="38"/>
        <v>0.1822</v>
      </c>
      <c r="R29" s="4">
        <f t="shared" si="38"/>
        <v>0.1672</v>
      </c>
      <c r="S29" s="4">
        <f t="shared" si="38"/>
        <v>0.1548</v>
      </c>
      <c r="T29" s="4">
        <f t="shared" si="38"/>
        <v>0.1399</v>
      </c>
      <c r="U29" s="4">
        <f t="shared" si="38"/>
        <v>0.143</v>
      </c>
      <c r="V29" s="4">
        <f t="shared" si="38"/>
        <v>1.0001</v>
      </c>
      <c r="W29" s="4">
        <f t="shared" si="38"/>
        <v>0.0334</v>
      </c>
      <c r="X29" s="4">
        <f t="shared" si="38"/>
        <v>0.0001</v>
      </c>
    </row>
    <row r="30" spans="1:24">
      <c r="L30" s="4"/>
      <c r="M30" s="4"/>
      <c r="N30" s="4"/>
      <c r="O30" s="4">
        <f t="shared" ref="O30:X30" si="39">ROUND(O5,4)+0.0001</f>
        <v>0.0001</v>
      </c>
      <c r="P30" s="4">
        <f t="shared" si="39"/>
        <v>0.0644</v>
      </c>
      <c r="Q30" s="4">
        <f t="shared" si="39"/>
        <v>0.1931</v>
      </c>
      <c r="R30" s="4">
        <f t="shared" si="39"/>
        <v>0.2977</v>
      </c>
      <c r="S30" s="4">
        <f t="shared" si="39"/>
        <v>0.3835</v>
      </c>
      <c r="T30" s="4">
        <f t="shared" si="39"/>
        <v>0.6167</v>
      </c>
      <c r="U30" s="4">
        <f t="shared" si="39"/>
        <v>0.6382</v>
      </c>
      <c r="V30" s="4">
        <f t="shared" si="39"/>
        <v>0.8312</v>
      </c>
      <c r="W30" s="4">
        <f t="shared" si="39"/>
        <v>0.8902</v>
      </c>
      <c r="X30" s="4">
        <f t="shared" si="39"/>
        <v>1.0001</v>
      </c>
    </row>
    <row r="31" spans="1:24">
      <c r="L31" s="4"/>
      <c r="M31" s="4"/>
      <c r="N31" s="4"/>
      <c r="O31" s="4">
        <f t="shared" ref="O31:X31" si="40">ROUND(O6,4)+0.0001</f>
        <v>0.1112</v>
      </c>
      <c r="P31" s="4">
        <f t="shared" si="40"/>
        <v>0.3429</v>
      </c>
      <c r="Q31" s="4">
        <f t="shared" si="40"/>
        <v>0.5534</v>
      </c>
      <c r="R31" s="4">
        <f t="shared" si="40"/>
        <v>0.6114</v>
      </c>
      <c r="S31" s="4">
        <f t="shared" si="40"/>
        <v>0.7183</v>
      </c>
      <c r="T31" s="4">
        <f t="shared" si="40"/>
        <v>0.7279</v>
      </c>
      <c r="U31" s="4">
        <f t="shared" si="40"/>
        <v>0.6944</v>
      </c>
      <c r="V31" s="4">
        <f t="shared" si="40"/>
        <v>0.0001</v>
      </c>
      <c r="W31" s="4">
        <f t="shared" si="40"/>
        <v>0.8393</v>
      </c>
      <c r="X31" s="4">
        <f t="shared" si="40"/>
        <v>1.0001</v>
      </c>
    </row>
    <row r="32" spans="1:24">
      <c r="L32" s="4"/>
      <c r="M32" s="4"/>
      <c r="N32" s="4"/>
      <c r="O32" s="4">
        <f t="shared" ref="O32:X32" si="41">ROUND(O7,4)+0.0001</f>
        <v>0.0001</v>
      </c>
      <c r="P32" s="4">
        <f t="shared" si="41"/>
        <v>0.0711</v>
      </c>
      <c r="Q32" s="4">
        <f t="shared" si="41"/>
        <v>0.156</v>
      </c>
      <c r="R32" s="4">
        <f t="shared" si="41"/>
        <v>0.2605</v>
      </c>
      <c r="S32" s="4">
        <f t="shared" si="41"/>
        <v>0.3396</v>
      </c>
      <c r="T32" s="4">
        <f t="shared" si="41"/>
        <v>0.4216</v>
      </c>
      <c r="U32" s="4">
        <f t="shared" si="41"/>
        <v>0.5957</v>
      </c>
      <c r="V32" s="4">
        <f t="shared" si="41"/>
        <v>0.7468</v>
      </c>
      <c r="W32" s="4">
        <f t="shared" si="41"/>
        <v>0.7266</v>
      </c>
      <c r="X32" s="4">
        <f t="shared" si="41"/>
        <v>1.0001</v>
      </c>
    </row>
    <row r="33" spans="12:24">
      <c r="L33" s="4"/>
      <c r="M33" s="4"/>
      <c r="N33" s="4"/>
      <c r="O33" s="4">
        <f t="shared" ref="O33:X33" si="42">ROUND(O8,4)+0.0001</f>
        <v>0.0001</v>
      </c>
      <c r="P33" s="4">
        <f t="shared" si="42"/>
        <v>0.0956</v>
      </c>
      <c r="Q33" s="4">
        <f t="shared" si="42"/>
        <v>0.1814</v>
      </c>
      <c r="R33" s="4">
        <f t="shared" si="42"/>
        <v>0.2794</v>
      </c>
      <c r="S33" s="4">
        <f t="shared" si="42"/>
        <v>0.3669</v>
      </c>
      <c r="T33" s="4">
        <f t="shared" si="42"/>
        <v>0.7123</v>
      </c>
      <c r="U33" s="4">
        <f t="shared" si="42"/>
        <v>0.7167</v>
      </c>
      <c r="V33" s="4">
        <f t="shared" si="42"/>
        <v>0.0035</v>
      </c>
      <c r="W33" s="4">
        <f t="shared" si="42"/>
        <v>0.7819</v>
      </c>
      <c r="X33" s="4">
        <f t="shared" si="42"/>
        <v>1.0001</v>
      </c>
    </row>
    <row r="34" spans="12:24">
      <c r="L34" s="4"/>
      <c r="M34" s="4"/>
      <c r="N34" s="4"/>
      <c r="O34" s="4">
        <f t="shared" ref="O34:X34" si="43">ROUND(O9,4)+0.0001</f>
        <v>0.0001</v>
      </c>
      <c r="P34" s="4">
        <f t="shared" si="43"/>
        <v>0.2728</v>
      </c>
      <c r="Q34" s="4">
        <f t="shared" si="43"/>
        <v>0.4243</v>
      </c>
      <c r="R34" s="4">
        <f t="shared" si="43"/>
        <v>0.5153</v>
      </c>
      <c r="S34" s="4">
        <f t="shared" si="43"/>
        <v>0.6365</v>
      </c>
      <c r="T34" s="4">
        <f t="shared" si="43"/>
        <v>0.788</v>
      </c>
      <c r="U34" s="4">
        <f t="shared" si="43"/>
        <v>0.788</v>
      </c>
      <c r="V34" s="4">
        <f t="shared" si="43"/>
        <v>0.9092</v>
      </c>
      <c r="W34" s="4">
        <f t="shared" si="43"/>
        <v>0.9395</v>
      </c>
      <c r="X34" s="4">
        <f t="shared" si="43"/>
        <v>1.0001</v>
      </c>
    </row>
    <row r="35" spans="12:24">
      <c r="L35" s="4"/>
      <c r="M35" s="4"/>
      <c r="N35" s="4"/>
      <c r="O35" s="4">
        <f t="shared" ref="O35:X35" si="44">ROUND(O10,4)+0.0001</f>
        <v>1.0001</v>
      </c>
      <c r="P35" s="4">
        <f t="shared" si="44"/>
        <v>0.9349</v>
      </c>
      <c r="Q35" s="4">
        <f t="shared" si="44"/>
        <v>0.8371</v>
      </c>
      <c r="R35" s="4">
        <f t="shared" si="44"/>
        <v>0.7827</v>
      </c>
      <c r="S35" s="4">
        <f t="shared" si="44"/>
        <v>0.6523</v>
      </c>
      <c r="T35" s="4">
        <f t="shared" si="44"/>
        <v>0.5218</v>
      </c>
      <c r="U35" s="4">
        <f t="shared" si="44"/>
        <v>0.4892</v>
      </c>
      <c r="V35" s="4">
        <f t="shared" si="44"/>
        <v>0.4566</v>
      </c>
      <c r="W35" s="4">
        <f t="shared" si="44"/>
        <v>0.2066</v>
      </c>
      <c r="X35" s="4">
        <f t="shared" si="44"/>
        <v>0.0001</v>
      </c>
    </row>
    <row r="36" spans="12:24">
      <c r="L36" s="4"/>
      <c r="M36" s="4"/>
      <c r="N36" s="4"/>
      <c r="O36" s="4">
        <f t="shared" ref="O36:X36" si="45">ROUND(O11,4)+0.0001</f>
        <v>0.0001</v>
      </c>
      <c r="P36" s="4">
        <f t="shared" si="45"/>
        <v>0.1001</v>
      </c>
      <c r="Q36" s="4">
        <f t="shared" si="45"/>
        <v>0.1974</v>
      </c>
      <c r="R36" s="4">
        <f t="shared" si="45"/>
        <v>0.292</v>
      </c>
      <c r="S36" s="4">
        <f t="shared" si="45"/>
        <v>0.4163</v>
      </c>
      <c r="T36" s="4">
        <f t="shared" si="45"/>
        <v>0.5163</v>
      </c>
      <c r="U36" s="4">
        <f t="shared" si="45"/>
        <v>0.5866</v>
      </c>
      <c r="V36" s="4">
        <f t="shared" si="45"/>
        <v>0.6217</v>
      </c>
      <c r="W36" s="4">
        <f t="shared" si="45"/>
        <v>0.8677</v>
      </c>
      <c r="X36" s="4">
        <f t="shared" si="45"/>
        <v>1.0001</v>
      </c>
    </row>
    <row r="37" spans="12:24"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2:24">
      <c r="L38" s="4"/>
      <c r="M38" s="4"/>
      <c r="N38" s="4"/>
      <c r="O38" s="4">
        <f t="shared" ref="O38:X38" si="46">ROUND(O13,4)+0.0001</f>
        <v>0.7501</v>
      </c>
      <c r="P38" s="4">
        <f t="shared" si="46"/>
        <v>0.8334</v>
      </c>
      <c r="Q38" s="4">
        <f t="shared" si="46"/>
        <v>1.0001</v>
      </c>
      <c r="R38" s="4">
        <f t="shared" si="46"/>
        <v>0.6668</v>
      </c>
      <c r="S38" s="4">
        <f t="shared" si="46"/>
        <v>0.5001</v>
      </c>
      <c r="T38" s="4">
        <f t="shared" si="46"/>
        <v>0.4168</v>
      </c>
      <c r="U38" s="4">
        <f t="shared" si="46"/>
        <v>0.3334</v>
      </c>
      <c r="V38" s="4">
        <f t="shared" si="46"/>
        <v>0.2501</v>
      </c>
      <c r="W38" s="4">
        <f t="shared" si="46"/>
        <v>0.0834</v>
      </c>
      <c r="X38" s="4">
        <f t="shared" si="46"/>
        <v>0.0001</v>
      </c>
    </row>
    <row r="39" spans="12:24">
      <c r="L39" s="4"/>
      <c r="M39" s="4"/>
      <c r="N39" s="4"/>
      <c r="O39" s="4">
        <f t="shared" ref="O39:X39" si="47">ROUND(O14,4)+0.0001</f>
        <v>0.8572</v>
      </c>
      <c r="P39" s="4">
        <f t="shared" si="47"/>
        <v>0.7144</v>
      </c>
      <c r="Q39" s="4">
        <f t="shared" si="47"/>
        <v>0.8572</v>
      </c>
      <c r="R39" s="4">
        <f t="shared" si="47"/>
        <v>1.0001</v>
      </c>
      <c r="S39" s="4">
        <f t="shared" si="47"/>
        <v>1.0001</v>
      </c>
      <c r="T39" s="4">
        <f t="shared" si="47"/>
        <v>0.5715</v>
      </c>
      <c r="U39" s="4">
        <f t="shared" si="47"/>
        <v>0.4287</v>
      </c>
      <c r="V39" s="4">
        <f t="shared" si="47"/>
        <v>0.4287</v>
      </c>
      <c r="W39" s="4">
        <f t="shared" si="47"/>
        <v>0.2858</v>
      </c>
      <c r="X39" s="4">
        <f t="shared" si="47"/>
        <v>0.0001</v>
      </c>
    </row>
    <row r="40" spans="12:24">
      <c r="L40" s="4"/>
      <c r="M40" s="4"/>
      <c r="N40" s="4"/>
      <c r="O40" s="4">
        <f t="shared" ref="O40:X40" si="48">ROUND(O15,4)+0.0001</f>
        <v>0.5234</v>
      </c>
      <c r="P40" s="4">
        <f t="shared" si="48"/>
        <v>0.8988</v>
      </c>
      <c r="Q40" s="4">
        <f t="shared" si="48"/>
        <v>0.9669</v>
      </c>
      <c r="R40" s="4">
        <f t="shared" si="48"/>
        <v>1.0001</v>
      </c>
      <c r="S40" s="4">
        <f t="shared" si="48"/>
        <v>0.8424</v>
      </c>
      <c r="T40" s="4">
        <f t="shared" si="48"/>
        <v>0.6919</v>
      </c>
      <c r="U40" s="4">
        <f t="shared" si="48"/>
        <v>0.6578</v>
      </c>
      <c r="V40" s="4">
        <f t="shared" si="48"/>
        <v>0.5888</v>
      </c>
      <c r="W40" s="4">
        <f t="shared" si="48"/>
        <v>0.3523</v>
      </c>
      <c r="X40" s="4">
        <f t="shared" si="48"/>
        <v>0.0001</v>
      </c>
    </row>
    <row r="41" spans="12:24">
      <c r="L41" s="4"/>
      <c r="M41" s="4"/>
      <c r="N41" s="4"/>
      <c r="O41" s="4">
        <f t="shared" ref="O41:X41" si="49">ROUND(O16,4)+0.0001</f>
        <v>0.4623</v>
      </c>
      <c r="P41" s="4">
        <f t="shared" si="49"/>
        <v>0.4917</v>
      </c>
      <c r="Q41" s="4">
        <f t="shared" si="49"/>
        <v>0.5337</v>
      </c>
      <c r="R41" s="4">
        <f t="shared" si="49"/>
        <v>0.748</v>
      </c>
      <c r="S41" s="4">
        <f t="shared" si="49"/>
        <v>0.874</v>
      </c>
      <c r="T41" s="4">
        <f t="shared" si="49"/>
        <v>1.0001</v>
      </c>
      <c r="U41" s="4">
        <f t="shared" si="49"/>
        <v>0.0001</v>
      </c>
      <c r="V41" s="4">
        <f t="shared" si="49"/>
        <v>0.1598</v>
      </c>
      <c r="W41" s="4">
        <f t="shared" si="49"/>
        <v>0.3278</v>
      </c>
      <c r="X41" s="4">
        <f t="shared" si="49"/>
        <v>0.2018</v>
      </c>
    </row>
    <row r="42" spans="12:24">
      <c r="L42" s="4"/>
      <c r="M42" s="4"/>
      <c r="N42" s="4"/>
      <c r="O42" s="4">
        <f t="shared" ref="O42:X42" si="50">ROUND(O17,4)+0.0001</f>
        <v>0.4705</v>
      </c>
      <c r="P42" s="4">
        <f t="shared" si="50"/>
        <v>0.5344</v>
      </c>
      <c r="Q42" s="4">
        <f t="shared" si="50"/>
        <v>0.5817</v>
      </c>
      <c r="R42" s="4">
        <f t="shared" si="50"/>
        <v>0.6644</v>
      </c>
      <c r="S42" s="4">
        <f t="shared" si="50"/>
        <v>0.733</v>
      </c>
      <c r="T42" s="4">
        <f t="shared" si="50"/>
        <v>0.8062</v>
      </c>
      <c r="U42" s="4">
        <f t="shared" si="50"/>
        <v>0.8535</v>
      </c>
      <c r="V42" s="4">
        <f t="shared" si="50"/>
        <v>0.0001</v>
      </c>
      <c r="W42" s="4">
        <f t="shared" si="50"/>
        <v>0.9623</v>
      </c>
      <c r="X42" s="4">
        <f t="shared" si="50"/>
        <v>1.0001</v>
      </c>
    </row>
    <row r="43" spans="12:24">
      <c r="L43" s="4"/>
      <c r="M43" s="4"/>
      <c r="N43" s="4"/>
      <c r="O43" s="4">
        <f t="shared" ref="O43:X43" si="51">ROUND(O18,4)+0.0001</f>
        <v>0.0001</v>
      </c>
      <c r="P43" s="4">
        <f t="shared" si="51"/>
        <v>0.1396</v>
      </c>
      <c r="Q43" s="4">
        <f t="shared" si="51"/>
        <v>0.4234</v>
      </c>
      <c r="R43" s="4">
        <f t="shared" si="51"/>
        <v>0.5466</v>
      </c>
      <c r="S43" s="4">
        <f t="shared" si="51"/>
        <v>0.628</v>
      </c>
      <c r="T43" s="4">
        <f t="shared" si="51"/>
        <v>0.6617</v>
      </c>
      <c r="U43" s="4">
        <f t="shared" si="51"/>
        <v>0.6048</v>
      </c>
      <c r="V43" s="4">
        <f t="shared" si="51"/>
        <v>0.8245</v>
      </c>
      <c r="W43" s="4">
        <f t="shared" si="51"/>
        <v>0.9582</v>
      </c>
      <c r="X43" s="4">
        <f t="shared" si="51"/>
        <v>1.0001</v>
      </c>
    </row>
    <row r="44" spans="12:24">
      <c r="L44" s="4"/>
      <c r="M44" s="4"/>
      <c r="N44" s="4"/>
      <c r="O44" s="4">
        <f t="shared" ref="O44:X44" si="52">ROUND(O19,4)+0.0001</f>
        <v>0.1669</v>
      </c>
      <c r="P44" s="4">
        <f t="shared" si="52"/>
        <v>0.0001</v>
      </c>
      <c r="Q44" s="4">
        <f t="shared" si="52"/>
        <v>0.5802</v>
      </c>
      <c r="R44" s="4">
        <f t="shared" si="52"/>
        <v>0.8626</v>
      </c>
      <c r="S44" s="4">
        <f t="shared" si="52"/>
        <v>1.0001</v>
      </c>
      <c r="T44" s="4">
        <f t="shared" si="52"/>
        <v>0.7188</v>
      </c>
      <c r="U44" s="4">
        <f t="shared" si="52"/>
        <v>0.8843</v>
      </c>
      <c r="V44" s="4">
        <f t="shared" si="52"/>
        <v>0.8336</v>
      </c>
      <c r="W44" s="4">
        <f t="shared" si="52"/>
        <v>0.8224</v>
      </c>
      <c r="X44" s="4">
        <f t="shared" si="52"/>
        <v>0.9181</v>
      </c>
    </row>
    <row r="45" spans="12:24">
      <c r="L45" s="4"/>
      <c r="M45" s="4"/>
      <c r="N45" s="4"/>
      <c r="O45" s="4">
        <f t="shared" ref="O45:X45" si="53">ROUND(O20,4)+0.0001</f>
        <v>0.0001</v>
      </c>
      <c r="P45" s="4">
        <f t="shared" si="53"/>
        <v>0.3361</v>
      </c>
      <c r="Q45" s="4">
        <f t="shared" si="53"/>
        <v>0.586</v>
      </c>
      <c r="R45" s="4">
        <f t="shared" si="53"/>
        <v>0.9505</v>
      </c>
      <c r="S45" s="4">
        <f t="shared" si="53"/>
        <v>0.9741</v>
      </c>
      <c r="T45" s="4">
        <f t="shared" si="53"/>
        <v>0.9838</v>
      </c>
      <c r="U45" s="4">
        <f t="shared" si="53"/>
        <v>1.0001</v>
      </c>
      <c r="V45" s="4">
        <f t="shared" si="53"/>
        <v>0.9961</v>
      </c>
      <c r="W45" s="4">
        <f t="shared" si="53"/>
        <v>0.9914</v>
      </c>
      <c r="X45" s="4">
        <f t="shared" si="53"/>
        <v>0.9928</v>
      </c>
    </row>
    <row r="46" spans="12:24">
      <c r="L46" s="4"/>
      <c r="M46" s="4"/>
      <c r="N46" s="4"/>
      <c r="O46" s="4">
        <f t="shared" ref="O46:X46" si="54">ROUND(O21,4)+0.0001</f>
        <v>1.0001</v>
      </c>
      <c r="P46" s="4">
        <f t="shared" si="54"/>
        <v>0.9644</v>
      </c>
      <c r="Q46" s="4">
        <f t="shared" si="54"/>
        <v>0.9108</v>
      </c>
      <c r="R46" s="4">
        <f t="shared" si="54"/>
        <v>0.9287</v>
      </c>
      <c r="S46" s="4">
        <f t="shared" si="54"/>
        <v>0.8126</v>
      </c>
      <c r="T46" s="4">
        <f t="shared" si="54"/>
        <v>0.5894</v>
      </c>
      <c r="U46" s="4">
        <f t="shared" si="54"/>
        <v>0.5805</v>
      </c>
      <c r="V46" s="4">
        <f t="shared" si="54"/>
        <v>0.5537</v>
      </c>
      <c r="W46" s="4">
        <f t="shared" si="54"/>
        <v>0.3126</v>
      </c>
      <c r="X46" s="4">
        <f t="shared" si="54"/>
        <v>0.0001</v>
      </c>
    </row>
    <row r="47" spans="12:24">
      <c r="L47" s="4"/>
      <c r="M47" s="4"/>
      <c r="N47" s="4"/>
      <c r="O47" s="4">
        <f t="shared" ref="O47:X47" si="55">ROUND(O22,4)+0.0001</f>
        <v>1.0001</v>
      </c>
      <c r="P47" s="4">
        <f t="shared" si="55"/>
        <v>0.8809</v>
      </c>
      <c r="Q47" s="4">
        <f t="shared" si="55"/>
        <v>0.783</v>
      </c>
      <c r="R47" s="4">
        <f t="shared" si="55"/>
        <v>0.6727</v>
      </c>
      <c r="S47" s="4">
        <f t="shared" si="55"/>
        <v>0.5464</v>
      </c>
      <c r="T47" s="4">
        <f t="shared" si="55"/>
        <v>0.4592</v>
      </c>
      <c r="U47" s="4">
        <f t="shared" si="55"/>
        <v>0.3684</v>
      </c>
      <c r="V47" s="4">
        <f t="shared" si="55"/>
        <v>0.3364</v>
      </c>
      <c r="W47" s="4">
        <f t="shared" si="55"/>
        <v>0.098</v>
      </c>
      <c r="X47" s="4">
        <f t="shared" si="55"/>
        <v>0.0001</v>
      </c>
    </row>
    <row r="48" spans="12:24">
      <c r="L48" s="4"/>
      <c r="M48" s="4"/>
      <c r="N48" s="4"/>
      <c r="O48" s="4">
        <f t="shared" ref="O48:X48" si="56">ROUND(O23,4)+0.0001</f>
        <v>0.1481</v>
      </c>
      <c r="P48" s="4">
        <f t="shared" si="56"/>
        <v>0.4401</v>
      </c>
      <c r="Q48" s="4">
        <f t="shared" si="56"/>
        <v>0.0001</v>
      </c>
      <c r="R48" s="4">
        <f t="shared" si="56"/>
        <v>0.1521</v>
      </c>
      <c r="S48" s="4">
        <f t="shared" si="56"/>
        <v>0.8041</v>
      </c>
      <c r="T48" s="4">
        <f t="shared" si="56"/>
        <v>0.7521</v>
      </c>
      <c r="U48" s="4">
        <f t="shared" si="56"/>
        <v>0.4561</v>
      </c>
      <c r="V48" s="4">
        <f t="shared" si="56"/>
        <v>0.7001</v>
      </c>
      <c r="W48" s="4">
        <f t="shared" si="56"/>
        <v>1.0001</v>
      </c>
      <c r="X48" s="4">
        <f t="shared" si="56"/>
        <v>0.7841</v>
      </c>
    </row>
    <row r="49" spans="12:24">
      <c r="L49" s="4"/>
      <c r="M49" s="4"/>
      <c r="N49" s="4"/>
      <c r="O49" s="4">
        <f t="shared" ref="O49:X49" si="57">ROUND(O24,4)+0.0001</f>
        <v>0.2741</v>
      </c>
      <c r="P49" s="4">
        <f t="shared" si="57"/>
        <v>0.6688</v>
      </c>
      <c r="Q49" s="4">
        <f t="shared" si="57"/>
        <v>0.0001</v>
      </c>
      <c r="R49" s="4">
        <f t="shared" si="57"/>
        <v>0.1563</v>
      </c>
      <c r="S49" s="4">
        <f t="shared" si="57"/>
        <v>0.6899</v>
      </c>
      <c r="T49" s="4">
        <f t="shared" si="57"/>
        <v>0.2673</v>
      </c>
      <c r="U49" s="4">
        <f t="shared" si="57"/>
        <v>0.3661</v>
      </c>
      <c r="V49" s="4">
        <f t="shared" si="57"/>
        <v>0.6484</v>
      </c>
      <c r="W49" s="4">
        <f t="shared" si="57"/>
        <v>1.0001</v>
      </c>
      <c r="X49" s="4">
        <f t="shared" si="57"/>
        <v>0.5888</v>
      </c>
    </row>
  </sheetData>
  <pageMargins left="0.75" right="0.75" top="1" bottom="1" header="0.5" footer="0.5"/>
  <headerFooter/>
  <ignoredErrors>
    <ignoredError sqref="A1:X14 A15 L15:X15 A16:X22 A23:A2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9"/>
  <sheetViews>
    <sheetView workbookViewId="0">
      <selection activeCell="L23" sqref="L23:X49"/>
    </sheetView>
  </sheetViews>
  <sheetFormatPr defaultColWidth="9" defaultRowHeight="13.5"/>
  <cols>
    <col min="1" max="1" width="31.6283185840708" customWidth="1"/>
  </cols>
  <sheetData>
    <row r="1" spans="1:24">
      <c r="A1" s="218" t="s">
        <v>0</v>
      </c>
      <c r="B1" s="218">
        <v>2014</v>
      </c>
      <c r="C1" s="218">
        <v>2015</v>
      </c>
      <c r="D1" s="218">
        <v>2016</v>
      </c>
      <c r="E1" s="218">
        <v>2017</v>
      </c>
      <c r="F1" s="218">
        <v>2018</v>
      </c>
      <c r="G1" s="218">
        <v>2019</v>
      </c>
      <c r="H1" s="218">
        <v>2020</v>
      </c>
      <c r="I1" s="218">
        <v>2021</v>
      </c>
      <c r="J1" s="4">
        <v>2022</v>
      </c>
      <c r="K1" s="4">
        <v>2023</v>
      </c>
      <c r="L1" s="4" t="s">
        <v>2</v>
      </c>
      <c r="M1" s="219" t="s">
        <v>3</v>
      </c>
      <c r="N1" s="4" t="s">
        <v>4</v>
      </c>
      <c r="O1" s="4">
        <v>2014</v>
      </c>
      <c r="P1" s="4">
        <v>2015</v>
      </c>
      <c r="Q1" s="4">
        <v>2016</v>
      </c>
      <c r="R1" s="4">
        <v>2017</v>
      </c>
      <c r="S1" s="4">
        <v>2018</v>
      </c>
      <c r="T1" s="4">
        <v>2019</v>
      </c>
      <c r="U1" s="4">
        <v>2020</v>
      </c>
      <c r="V1" s="4">
        <v>2021</v>
      </c>
      <c r="W1" s="4">
        <v>2022</v>
      </c>
      <c r="X1" s="4">
        <v>2023</v>
      </c>
    </row>
    <row r="2" ht="15.75" spans="1:24">
      <c r="A2" s="220" t="s">
        <v>5</v>
      </c>
      <c r="B2" s="4">
        <v>8692.1</v>
      </c>
      <c r="C2" s="4">
        <v>9300.07</v>
      </c>
      <c r="D2">
        <v>10011.29</v>
      </c>
      <c r="E2">
        <v>8499.13</v>
      </c>
      <c r="F2" s="4">
        <v>12001.52</v>
      </c>
      <c r="G2" s="4">
        <v>11741</v>
      </c>
      <c r="H2" s="4">
        <v>12401</v>
      </c>
      <c r="I2" s="4">
        <v>14136</v>
      </c>
      <c r="J2" s="4">
        <v>14921</v>
      </c>
      <c r="K2" s="40">
        <v>15760</v>
      </c>
      <c r="L2" s="4">
        <f t="shared" ref="L2:L11" si="0">MAX(B2:K2)</f>
        <v>15760</v>
      </c>
      <c r="M2" s="4">
        <f t="shared" ref="M2:M11" si="1">MIN(B2:K2)</f>
        <v>8499.13</v>
      </c>
      <c r="N2" s="4">
        <f t="shared" ref="N2:N11" si="2">L2-M2</f>
        <v>7260.87</v>
      </c>
      <c r="O2" s="4">
        <f t="shared" ref="O2:O11" si="3">(B2-M2)/N2</f>
        <v>0.026576704995407</v>
      </c>
      <c r="P2" s="4">
        <f t="shared" ref="P2:P11" si="4">(C2-M2)/N2</f>
        <v>0.110309095191072</v>
      </c>
      <c r="Q2" s="4">
        <f t="shared" ref="Q2:Q11" si="5">(D2-M2)/N2</f>
        <v>0.208261544415477</v>
      </c>
      <c r="R2" s="4">
        <f t="shared" ref="R2:R11" si="6">(E2-M2)/N2</f>
        <v>0</v>
      </c>
      <c r="S2" s="4">
        <f t="shared" ref="S2:S11" si="7">(F2-M2)/N2</f>
        <v>0.482365060936224</v>
      </c>
      <c r="T2" s="4">
        <f t="shared" ref="T2:T11" si="8">(G2-M2)/N2</f>
        <v>0.446485063084727</v>
      </c>
      <c r="U2" s="4">
        <f t="shared" ref="U2:U11" si="9">(H2-M2)/N2</f>
        <v>0.537383261234535</v>
      </c>
      <c r="V2" s="4">
        <f t="shared" ref="V2:V11" si="10">(I2-M2)/N2</f>
        <v>0.776335342734411</v>
      </c>
      <c r="W2" s="4">
        <f t="shared" ref="W2:W11" si="11">(J2-M2)/N2</f>
        <v>0.884449108715622</v>
      </c>
      <c r="X2" s="4">
        <f t="shared" ref="X2:X11" si="12">(K2-M2)/N2</f>
        <v>1</v>
      </c>
    </row>
    <row r="3" ht="15.75" spans="1:24">
      <c r="A3" s="220" t="s">
        <v>7</v>
      </c>
      <c r="B3" s="4">
        <v>904</v>
      </c>
      <c r="C3" s="171">
        <v>920</v>
      </c>
      <c r="D3">
        <v>920</v>
      </c>
      <c r="E3">
        <v>971</v>
      </c>
      <c r="F3" s="4">
        <v>1007</v>
      </c>
      <c r="G3" s="4">
        <v>1010</v>
      </c>
      <c r="H3" s="4">
        <v>1025</v>
      </c>
      <c r="I3" s="4">
        <v>1034</v>
      </c>
      <c r="J3" s="4">
        <v>1037</v>
      </c>
      <c r="K3" s="4">
        <v>1037</v>
      </c>
      <c r="L3" s="4">
        <f t="shared" si="0"/>
        <v>1037</v>
      </c>
      <c r="M3" s="4">
        <f t="shared" si="1"/>
        <v>904</v>
      </c>
      <c r="N3" s="4">
        <f t="shared" si="2"/>
        <v>133</v>
      </c>
      <c r="O3" s="4">
        <f t="shared" si="3"/>
        <v>0</v>
      </c>
      <c r="P3" s="4">
        <f t="shared" si="4"/>
        <v>0.120300751879699</v>
      </c>
      <c r="Q3" s="4">
        <f t="shared" si="5"/>
        <v>0.120300751879699</v>
      </c>
      <c r="R3" s="4">
        <f t="shared" si="6"/>
        <v>0.503759398496241</v>
      </c>
      <c r="S3" s="4">
        <f t="shared" si="7"/>
        <v>0.774436090225564</v>
      </c>
      <c r="T3" s="4">
        <f t="shared" si="8"/>
        <v>0.796992481203007</v>
      </c>
      <c r="U3" s="4">
        <f t="shared" si="9"/>
        <v>0.909774436090226</v>
      </c>
      <c r="V3" s="4">
        <f t="shared" si="10"/>
        <v>0.977443609022556</v>
      </c>
      <c r="W3" s="4">
        <f t="shared" si="11"/>
        <v>1</v>
      </c>
      <c r="X3" s="4">
        <f t="shared" si="12"/>
        <v>1</v>
      </c>
    </row>
    <row r="4" ht="15.75" spans="1:24">
      <c r="A4" s="220" t="s">
        <v>8</v>
      </c>
      <c r="B4" s="4">
        <v>597.48</v>
      </c>
      <c r="C4" s="4">
        <v>590.75</v>
      </c>
      <c r="D4">
        <v>602.81</v>
      </c>
      <c r="E4">
        <v>588.6</v>
      </c>
      <c r="F4" s="4">
        <v>588.97</v>
      </c>
      <c r="G4" s="4">
        <v>605.44</v>
      </c>
      <c r="H4" s="4">
        <v>618.31</v>
      </c>
      <c r="I4" s="4">
        <v>510.33</v>
      </c>
      <c r="J4" s="4">
        <v>618.4</v>
      </c>
      <c r="K4" s="4">
        <v>618.4</v>
      </c>
      <c r="L4" s="4">
        <f t="shared" si="0"/>
        <v>618.4</v>
      </c>
      <c r="M4" s="4">
        <f t="shared" si="1"/>
        <v>510.33</v>
      </c>
      <c r="N4" s="4">
        <f t="shared" si="2"/>
        <v>108.07</v>
      </c>
      <c r="O4" s="4">
        <f>(L4-B4)/N4</f>
        <v>0.193578236328305</v>
      </c>
      <c r="P4" s="4">
        <f>(L4-C4)/N4</f>
        <v>0.255852688072545</v>
      </c>
      <c r="Q4" s="4">
        <f>(L4-D4)/N4</f>
        <v>0.144258351068752</v>
      </c>
      <c r="R4" s="4">
        <f>(L4-E4)/N4</f>
        <v>0.275747200888313</v>
      </c>
      <c r="S4" s="4">
        <f>(L4-F4)/N4</f>
        <v>0.272323494031646</v>
      </c>
      <c r="T4" s="4">
        <f>(L4-G4)/N4</f>
        <v>0.119922272601091</v>
      </c>
      <c r="U4" s="4">
        <f>(L4-H4)/N4</f>
        <v>0.000832793559730099</v>
      </c>
      <c r="V4" s="4">
        <f>(L4-I4)/N4</f>
        <v>1</v>
      </c>
      <c r="W4" s="4">
        <f>(L4-J4)/N4</f>
        <v>0</v>
      </c>
      <c r="X4" s="4">
        <f>(L4-K4)/N4</f>
        <v>0</v>
      </c>
    </row>
    <row r="5" ht="15.75" spans="1:24">
      <c r="A5" s="220" t="s">
        <v>10</v>
      </c>
      <c r="B5" s="4">
        <v>0.77</v>
      </c>
      <c r="C5" s="4">
        <v>0.82</v>
      </c>
      <c r="D5">
        <v>0.89</v>
      </c>
      <c r="E5">
        <v>0.75</v>
      </c>
      <c r="F5" s="4">
        <v>1.06</v>
      </c>
      <c r="G5" s="4">
        <v>1.04</v>
      </c>
      <c r="H5" s="4">
        <v>1.1</v>
      </c>
      <c r="I5" s="4">
        <v>1.25</v>
      </c>
      <c r="J5" s="4">
        <v>1.32</v>
      </c>
      <c r="K5" s="4">
        <v>1.4</v>
      </c>
      <c r="L5" s="4">
        <f t="shared" si="0"/>
        <v>1.4</v>
      </c>
      <c r="M5" s="4">
        <f t="shared" si="1"/>
        <v>0.75</v>
      </c>
      <c r="N5" s="4">
        <f t="shared" si="2"/>
        <v>0.65</v>
      </c>
      <c r="O5" s="4">
        <f t="shared" si="3"/>
        <v>0.0307692307692308</v>
      </c>
      <c r="P5" s="4">
        <f t="shared" si="4"/>
        <v>0.107692307692308</v>
      </c>
      <c r="Q5" s="4">
        <f t="shared" si="5"/>
        <v>0.215384615384615</v>
      </c>
      <c r="R5" s="4">
        <f t="shared" si="6"/>
        <v>0</v>
      </c>
      <c r="S5" s="4">
        <f t="shared" si="7"/>
        <v>0.476923076923077</v>
      </c>
      <c r="T5" s="4">
        <f t="shared" si="8"/>
        <v>0.446153846153846</v>
      </c>
      <c r="U5" s="4">
        <f t="shared" si="9"/>
        <v>0.538461538461539</v>
      </c>
      <c r="V5" s="4">
        <f t="shared" si="10"/>
        <v>0.769230769230769</v>
      </c>
      <c r="W5" s="4">
        <f t="shared" si="11"/>
        <v>0.876923076923077</v>
      </c>
      <c r="X5" s="4">
        <f t="shared" si="12"/>
        <v>1</v>
      </c>
    </row>
    <row r="6" ht="15.75" spans="1:24">
      <c r="A6" s="220" t="s">
        <v>11</v>
      </c>
      <c r="B6" s="4">
        <v>9903.15</v>
      </c>
      <c r="C6" s="4">
        <v>10938.29</v>
      </c>
      <c r="D6">
        <v>11956.85</v>
      </c>
      <c r="E6">
        <v>11918.01</v>
      </c>
      <c r="F6" s="4">
        <v>12233.5</v>
      </c>
      <c r="G6" s="4">
        <v>12294.41</v>
      </c>
      <c r="H6" s="4">
        <v>12232.73</v>
      </c>
      <c r="I6" s="4">
        <v>10096.48</v>
      </c>
      <c r="J6" s="4">
        <v>12278.78</v>
      </c>
      <c r="K6" s="4">
        <v>12901.25</v>
      </c>
      <c r="L6" s="4">
        <f t="shared" si="0"/>
        <v>12901.25</v>
      </c>
      <c r="M6" s="4">
        <f t="shared" si="1"/>
        <v>9903.15</v>
      </c>
      <c r="N6" s="4">
        <f t="shared" si="2"/>
        <v>2998.1</v>
      </c>
      <c r="O6" s="4">
        <f t="shared" si="3"/>
        <v>0</v>
      </c>
      <c r="P6" s="4">
        <f t="shared" si="4"/>
        <v>0.345265334711985</v>
      </c>
      <c r="Q6" s="4">
        <f t="shared" si="5"/>
        <v>0.685000500316868</v>
      </c>
      <c r="R6" s="4">
        <f t="shared" si="6"/>
        <v>0.672045628898302</v>
      </c>
      <c r="S6" s="4">
        <f t="shared" si="7"/>
        <v>0.777275607884994</v>
      </c>
      <c r="T6" s="4">
        <f t="shared" si="8"/>
        <v>0.797591808145159</v>
      </c>
      <c r="U6" s="4">
        <f t="shared" si="9"/>
        <v>0.777018778559754</v>
      </c>
      <c r="V6" s="4">
        <f t="shared" si="10"/>
        <v>0.0644841733097628</v>
      </c>
      <c r="W6" s="4">
        <f t="shared" si="11"/>
        <v>0.792378506387379</v>
      </c>
      <c r="X6" s="4">
        <f t="shared" si="12"/>
        <v>1</v>
      </c>
    </row>
    <row r="7" ht="15.75" spans="1:24">
      <c r="A7" s="220" t="s">
        <v>12</v>
      </c>
      <c r="B7" s="4">
        <v>5766.03</v>
      </c>
      <c r="C7" s="4">
        <v>6555.67</v>
      </c>
      <c r="D7">
        <v>7454.7</v>
      </c>
      <c r="E7">
        <v>7777.1</v>
      </c>
      <c r="F7" s="114">
        <v>8388</v>
      </c>
      <c r="G7" s="4">
        <v>10196</v>
      </c>
      <c r="H7" s="4">
        <v>10522</v>
      </c>
      <c r="I7" s="4">
        <v>10953</v>
      </c>
      <c r="J7" s="4">
        <v>11446</v>
      </c>
      <c r="K7" s="4">
        <v>12018</v>
      </c>
      <c r="L7" s="4">
        <f t="shared" si="0"/>
        <v>12018</v>
      </c>
      <c r="M7" s="4">
        <f t="shared" si="1"/>
        <v>5766.03</v>
      </c>
      <c r="N7" s="4">
        <f t="shared" si="2"/>
        <v>6251.97</v>
      </c>
      <c r="O7" s="4">
        <f t="shared" si="3"/>
        <v>0</v>
      </c>
      <c r="P7" s="4">
        <f t="shared" si="4"/>
        <v>0.126302589423814</v>
      </c>
      <c r="Q7" s="4">
        <f t="shared" si="5"/>
        <v>0.270102063829481</v>
      </c>
      <c r="R7" s="4">
        <f t="shared" si="6"/>
        <v>0.32166980967599</v>
      </c>
      <c r="S7" s="4">
        <f t="shared" si="7"/>
        <v>0.419383010475098</v>
      </c>
      <c r="T7" s="4">
        <f t="shared" si="8"/>
        <v>0.708571858150311</v>
      </c>
      <c r="U7" s="4">
        <f t="shared" si="9"/>
        <v>0.760715422498828</v>
      </c>
      <c r="V7" s="4">
        <f t="shared" si="10"/>
        <v>0.829653693155917</v>
      </c>
      <c r="W7" s="4">
        <f t="shared" si="11"/>
        <v>0.908508838014258</v>
      </c>
      <c r="X7" s="4">
        <f t="shared" si="12"/>
        <v>1</v>
      </c>
    </row>
    <row r="8" ht="15.75" spans="1:24">
      <c r="A8" s="220" t="s">
        <v>13</v>
      </c>
      <c r="B8" s="4">
        <v>37187.19</v>
      </c>
      <c r="C8" s="4">
        <v>40366.24</v>
      </c>
      <c r="D8">
        <v>44618.86</v>
      </c>
      <c r="E8">
        <v>46766.31</v>
      </c>
      <c r="F8" s="4">
        <v>48087.95</v>
      </c>
      <c r="G8" s="4">
        <v>50758.39</v>
      </c>
      <c r="H8" s="4">
        <v>50765.81</v>
      </c>
      <c r="I8" s="4">
        <v>41900.37</v>
      </c>
      <c r="J8" s="4">
        <v>56815.61</v>
      </c>
      <c r="K8" s="4">
        <v>60934.8</v>
      </c>
      <c r="L8" s="4">
        <f t="shared" si="0"/>
        <v>60934.8</v>
      </c>
      <c r="M8" s="4">
        <f t="shared" si="1"/>
        <v>37187.19</v>
      </c>
      <c r="N8" s="4">
        <f t="shared" si="2"/>
        <v>23747.61</v>
      </c>
      <c r="O8" s="4">
        <f t="shared" si="3"/>
        <v>0</v>
      </c>
      <c r="P8" s="4">
        <f t="shared" si="4"/>
        <v>0.133868208211268</v>
      </c>
      <c r="Q8" s="4">
        <f t="shared" si="5"/>
        <v>0.312943913092728</v>
      </c>
      <c r="R8" s="4">
        <f t="shared" si="6"/>
        <v>0.403371960378328</v>
      </c>
      <c r="S8" s="4">
        <f t="shared" si="7"/>
        <v>0.459025560888022</v>
      </c>
      <c r="T8" s="4">
        <f t="shared" si="8"/>
        <v>0.571476455946514</v>
      </c>
      <c r="U8" s="4">
        <f t="shared" si="9"/>
        <v>0.571788908441733</v>
      </c>
      <c r="V8" s="4">
        <f t="shared" si="10"/>
        <v>0.198469656525436</v>
      </c>
      <c r="W8" s="4">
        <f t="shared" si="11"/>
        <v>0.8265429657974</v>
      </c>
      <c r="X8" s="4">
        <f t="shared" si="12"/>
        <v>1</v>
      </c>
    </row>
    <row r="9" ht="15.75" spans="1:24">
      <c r="A9" s="220" t="s">
        <v>14</v>
      </c>
      <c r="B9" s="4">
        <v>95.98</v>
      </c>
      <c r="C9" s="4">
        <v>96.09</v>
      </c>
      <c r="D9">
        <v>96.29</v>
      </c>
      <c r="E9">
        <v>98.19</v>
      </c>
      <c r="F9" s="4">
        <v>96.78</v>
      </c>
      <c r="G9" s="4">
        <v>96.51</v>
      </c>
      <c r="H9" s="4">
        <v>96.57</v>
      </c>
      <c r="I9" s="4">
        <v>96.68</v>
      </c>
      <c r="J9" s="4">
        <v>96.8</v>
      </c>
      <c r="K9" s="4">
        <v>96.87</v>
      </c>
      <c r="L9" s="4">
        <f t="shared" si="0"/>
        <v>98.19</v>
      </c>
      <c r="M9" s="4">
        <f t="shared" si="1"/>
        <v>95.98</v>
      </c>
      <c r="N9" s="4">
        <f t="shared" si="2"/>
        <v>2.20999999999999</v>
      </c>
      <c r="O9" s="4">
        <f t="shared" si="3"/>
        <v>0</v>
      </c>
      <c r="P9" s="4">
        <f t="shared" si="4"/>
        <v>0.0497737556561085</v>
      </c>
      <c r="Q9" s="4">
        <f t="shared" si="5"/>
        <v>0.140271493212671</v>
      </c>
      <c r="R9" s="4">
        <f t="shared" si="6"/>
        <v>1</v>
      </c>
      <c r="S9" s="4">
        <f t="shared" si="7"/>
        <v>0.361990950226244</v>
      </c>
      <c r="T9" s="4">
        <f t="shared" si="8"/>
        <v>0.239819004524888</v>
      </c>
      <c r="U9" s="4">
        <f t="shared" si="9"/>
        <v>0.266968325791851</v>
      </c>
      <c r="V9" s="4">
        <f t="shared" si="10"/>
        <v>0.316742081447966</v>
      </c>
      <c r="W9" s="4">
        <f t="shared" si="11"/>
        <v>0.371040723981898</v>
      </c>
      <c r="X9" s="4">
        <f t="shared" si="12"/>
        <v>0.402714932126698</v>
      </c>
    </row>
    <row r="10" ht="15.75" spans="1:24">
      <c r="A10" s="220" t="s">
        <v>15</v>
      </c>
      <c r="B10" s="4">
        <v>67.33</v>
      </c>
      <c r="C10" s="4">
        <v>67.22</v>
      </c>
      <c r="D10">
        <v>66.99</v>
      </c>
      <c r="E10">
        <v>66.72</v>
      </c>
      <c r="F10" s="4">
        <v>66.52</v>
      </c>
      <c r="G10" s="4">
        <v>66.19</v>
      </c>
      <c r="H10" s="4">
        <v>66</v>
      </c>
      <c r="I10" s="4">
        <v>65.92</v>
      </c>
      <c r="J10" s="4">
        <v>65.36</v>
      </c>
      <c r="K10" s="4">
        <v>64.95</v>
      </c>
      <c r="L10" s="4">
        <f t="shared" si="0"/>
        <v>67.33</v>
      </c>
      <c r="M10" s="4">
        <f t="shared" si="1"/>
        <v>64.95</v>
      </c>
      <c r="N10" s="4">
        <f t="shared" si="2"/>
        <v>2.38</v>
      </c>
      <c r="O10" s="4">
        <f t="shared" si="3"/>
        <v>1</v>
      </c>
      <c r="P10" s="4">
        <f t="shared" si="4"/>
        <v>0.953781512605042</v>
      </c>
      <c r="Q10" s="4">
        <f t="shared" si="5"/>
        <v>0.857142857142855</v>
      </c>
      <c r="R10" s="4">
        <f t="shared" si="6"/>
        <v>0.743697478991596</v>
      </c>
      <c r="S10" s="4">
        <f t="shared" si="7"/>
        <v>0.659663865546217</v>
      </c>
      <c r="T10" s="4">
        <f t="shared" si="8"/>
        <v>0.521008403361343</v>
      </c>
      <c r="U10" s="4">
        <f t="shared" si="9"/>
        <v>0.441176470588235</v>
      </c>
      <c r="V10" s="4">
        <f t="shared" si="10"/>
        <v>0.407563025210084</v>
      </c>
      <c r="W10" s="4">
        <f t="shared" si="11"/>
        <v>0.172268907563024</v>
      </c>
      <c r="X10" s="4">
        <f t="shared" si="12"/>
        <v>0</v>
      </c>
    </row>
    <row r="11" ht="15.75" spans="1:24">
      <c r="A11" s="220" t="s">
        <v>16</v>
      </c>
      <c r="B11" s="4">
        <v>25.23</v>
      </c>
      <c r="C11" s="4">
        <v>25.65</v>
      </c>
      <c r="D11">
        <v>26.08</v>
      </c>
      <c r="E11">
        <v>26.32</v>
      </c>
      <c r="F11" s="4">
        <v>26.54</v>
      </c>
      <c r="G11" s="4">
        <v>26.95</v>
      </c>
      <c r="H11" s="4">
        <v>27.35</v>
      </c>
      <c r="I11" s="4">
        <v>27.46</v>
      </c>
      <c r="J11" s="4">
        <v>27.76</v>
      </c>
      <c r="K11" s="4">
        <v>27.99</v>
      </c>
      <c r="L11" s="4">
        <f t="shared" si="0"/>
        <v>27.99</v>
      </c>
      <c r="M11" s="4">
        <f t="shared" si="1"/>
        <v>25.23</v>
      </c>
      <c r="N11" s="4">
        <f t="shared" si="2"/>
        <v>2.76</v>
      </c>
      <c r="O11" s="4">
        <f t="shared" si="3"/>
        <v>0</v>
      </c>
      <c r="P11" s="4">
        <f t="shared" si="4"/>
        <v>0.152173913043478</v>
      </c>
      <c r="Q11" s="4">
        <f t="shared" si="5"/>
        <v>0.307971014492753</v>
      </c>
      <c r="R11" s="4">
        <f t="shared" si="6"/>
        <v>0.394927536231884</v>
      </c>
      <c r="S11" s="4">
        <f t="shared" si="7"/>
        <v>0.47463768115942</v>
      </c>
      <c r="T11" s="4">
        <f t="shared" si="8"/>
        <v>0.623188405797101</v>
      </c>
      <c r="U11" s="4">
        <f t="shared" si="9"/>
        <v>0.768115942028986</v>
      </c>
      <c r="V11" s="4">
        <f t="shared" si="10"/>
        <v>0.807971014492754</v>
      </c>
      <c r="W11" s="4">
        <f t="shared" si="11"/>
        <v>0.916666666666668</v>
      </c>
      <c r="X11" s="4">
        <f t="shared" si="12"/>
        <v>1</v>
      </c>
    </row>
    <row r="12" spans="1:24">
      <c r="A12" s="218"/>
      <c r="B12" s="4"/>
      <c r="C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A13" s="218" t="s">
        <v>17</v>
      </c>
      <c r="B13" s="4">
        <v>0.45</v>
      </c>
      <c r="C13" s="4">
        <v>0.42</v>
      </c>
      <c r="D13">
        <v>0.37</v>
      </c>
      <c r="E13">
        <v>0.33</v>
      </c>
      <c r="F13" s="4">
        <v>0.31</v>
      </c>
      <c r="G13" s="4">
        <v>0.28</v>
      </c>
      <c r="H13" s="4">
        <v>0.26</v>
      </c>
      <c r="I13" s="4">
        <v>0.25</v>
      </c>
      <c r="J13" s="4">
        <v>0.21</v>
      </c>
      <c r="K13" s="4">
        <v>0.19</v>
      </c>
      <c r="L13" s="4">
        <f t="shared" ref="L13:L24" si="13">MAX(B13:K13)</f>
        <v>0.45</v>
      </c>
      <c r="M13" s="4">
        <f t="shared" ref="M13:M24" si="14">MIN(B13:K13)</f>
        <v>0.19</v>
      </c>
      <c r="N13" s="4">
        <f t="shared" ref="N13:N24" si="15">L13-M13</f>
        <v>0.26</v>
      </c>
      <c r="O13" s="4">
        <f t="shared" ref="O13:O18" si="16">(B13-M13)/N13</f>
        <v>1</v>
      </c>
      <c r="P13" s="4">
        <f t="shared" ref="P13:P18" si="17">(C13-M13)/N13</f>
        <v>0.884615384615384</v>
      </c>
      <c r="Q13" s="4">
        <f t="shared" ref="Q13:Q18" si="18">(D13-M13)/N13</f>
        <v>0.692307692307692</v>
      </c>
      <c r="R13" s="4">
        <f t="shared" ref="R13:R18" si="19">(E13-M13)/N13</f>
        <v>0.538461538461539</v>
      </c>
      <c r="S13" s="4">
        <f t="shared" ref="S13:S18" si="20">(F13-M13)/N13</f>
        <v>0.461538461538462</v>
      </c>
      <c r="T13" s="4">
        <f t="shared" ref="T13:T18" si="21">(G13-M13)/N13</f>
        <v>0.346153846153846</v>
      </c>
      <c r="U13" s="4">
        <f t="shared" ref="U13:U18" si="22">(H13-M13)/N13</f>
        <v>0.269230769230769</v>
      </c>
      <c r="V13" s="4">
        <f t="shared" ref="V13:V18" si="23">(I13-M13)/N13</f>
        <v>0.230769230769231</v>
      </c>
      <c r="W13" s="4">
        <f t="shared" ref="W13:W18" si="24">(J13-M13)/N13</f>
        <v>0.0769230769230769</v>
      </c>
      <c r="X13" s="4">
        <f t="shared" ref="X13:X18" si="25">(K13-M13)/N13</f>
        <v>0</v>
      </c>
    </row>
    <row r="14" ht="15.75" spans="1:24">
      <c r="A14" s="220" t="s">
        <v>18</v>
      </c>
      <c r="B14" s="4">
        <v>4.6</v>
      </c>
      <c r="C14" s="4">
        <v>4.64</v>
      </c>
      <c r="D14">
        <v>4.7</v>
      </c>
      <c r="E14">
        <v>4.83</v>
      </c>
      <c r="F14" s="4">
        <v>4.85</v>
      </c>
      <c r="G14" s="4">
        <v>4.82</v>
      </c>
      <c r="H14" s="4">
        <v>4.69</v>
      </c>
      <c r="I14" s="4">
        <v>4.66</v>
      </c>
      <c r="J14" s="4">
        <v>4.61</v>
      </c>
      <c r="K14" s="4">
        <v>4.71</v>
      </c>
      <c r="L14" s="4">
        <f t="shared" si="13"/>
        <v>4.85</v>
      </c>
      <c r="M14" s="4">
        <f t="shared" si="14"/>
        <v>4.6</v>
      </c>
      <c r="N14" s="4">
        <f t="shared" si="15"/>
        <v>0.25</v>
      </c>
      <c r="O14" s="4">
        <f t="shared" si="16"/>
        <v>0</v>
      </c>
      <c r="P14" s="4">
        <f t="shared" si="17"/>
        <v>0.16</v>
      </c>
      <c r="Q14" s="4">
        <f t="shared" si="18"/>
        <v>0.400000000000002</v>
      </c>
      <c r="R14" s="4">
        <f t="shared" si="19"/>
        <v>0.920000000000002</v>
      </c>
      <c r="S14" s="4">
        <f t="shared" si="20"/>
        <v>1</v>
      </c>
      <c r="T14" s="4">
        <f t="shared" si="21"/>
        <v>0.880000000000003</v>
      </c>
      <c r="U14" s="4">
        <f t="shared" si="22"/>
        <v>0.360000000000003</v>
      </c>
      <c r="V14" s="4">
        <f t="shared" si="23"/>
        <v>0.240000000000002</v>
      </c>
      <c r="W14" s="4">
        <f t="shared" si="24"/>
        <v>0.0400000000000027</v>
      </c>
      <c r="X14" s="4">
        <f t="shared" si="25"/>
        <v>0.440000000000001</v>
      </c>
    </row>
    <row r="15" spans="1:24">
      <c r="A15" s="218" t="s">
        <v>19</v>
      </c>
      <c r="B15" s="41">
        <v>0.0031</v>
      </c>
      <c r="C15" s="41">
        <v>0.0033</v>
      </c>
      <c r="D15" s="41">
        <v>0.0031</v>
      </c>
      <c r="E15" s="41">
        <v>0.0033</v>
      </c>
      <c r="F15" s="41">
        <v>0.003</v>
      </c>
      <c r="G15" s="41">
        <v>0.0033</v>
      </c>
      <c r="H15" s="41">
        <v>0.0036</v>
      </c>
      <c r="I15" s="41">
        <v>0.0036</v>
      </c>
      <c r="J15" s="41">
        <v>0.0033</v>
      </c>
      <c r="K15" s="41">
        <v>0.003</v>
      </c>
      <c r="L15" s="4">
        <f t="shared" si="13"/>
        <v>0.0036</v>
      </c>
      <c r="M15" s="4">
        <f t="shared" si="14"/>
        <v>0.003</v>
      </c>
      <c r="N15" s="4">
        <f t="shared" si="15"/>
        <v>0.0006</v>
      </c>
      <c r="O15" s="4">
        <f t="shared" si="16"/>
        <v>0.166666666666666</v>
      </c>
      <c r="P15" s="4">
        <f t="shared" si="17"/>
        <v>0.5</v>
      </c>
      <c r="Q15" s="4">
        <f t="shared" si="18"/>
        <v>0.166666666666666</v>
      </c>
      <c r="R15" s="4">
        <f t="shared" si="19"/>
        <v>0.5</v>
      </c>
      <c r="S15" s="4">
        <f t="shared" si="20"/>
        <v>0</v>
      </c>
      <c r="T15" s="4">
        <f t="shared" si="21"/>
        <v>0.5</v>
      </c>
      <c r="U15" s="4">
        <f t="shared" si="22"/>
        <v>1</v>
      </c>
      <c r="V15" s="4">
        <f t="shared" si="23"/>
        <v>1</v>
      </c>
      <c r="W15" s="4">
        <f t="shared" si="24"/>
        <v>0.5</v>
      </c>
      <c r="X15" s="4">
        <f t="shared" si="25"/>
        <v>0</v>
      </c>
    </row>
    <row r="16" spans="1:24">
      <c r="A16" s="218" t="s">
        <v>20</v>
      </c>
      <c r="B16" s="4">
        <v>44.68</v>
      </c>
      <c r="C16" s="4">
        <v>39.47</v>
      </c>
      <c r="D16">
        <v>38.58</v>
      </c>
      <c r="E16">
        <v>39.05</v>
      </c>
      <c r="F16" s="4">
        <v>39.2</v>
      </c>
      <c r="G16" s="4">
        <v>40.22</v>
      </c>
      <c r="H16" s="4">
        <v>41</v>
      </c>
      <c r="I16" s="4">
        <v>43.11</v>
      </c>
      <c r="J16" s="4">
        <v>45.42</v>
      </c>
      <c r="K16" s="4">
        <v>44.1</v>
      </c>
      <c r="L16" s="4">
        <f t="shared" si="13"/>
        <v>45.42</v>
      </c>
      <c r="M16" s="4">
        <f t="shared" si="14"/>
        <v>38.58</v>
      </c>
      <c r="N16" s="4">
        <f t="shared" si="15"/>
        <v>6.84</v>
      </c>
      <c r="O16" s="4">
        <f t="shared" si="16"/>
        <v>0.891812865497076</v>
      </c>
      <c r="P16" s="4">
        <f t="shared" si="17"/>
        <v>0.130116959064327</v>
      </c>
      <c r="Q16" s="4">
        <f t="shared" si="18"/>
        <v>0</v>
      </c>
      <c r="R16" s="4">
        <f t="shared" si="19"/>
        <v>0.0687134502923975</v>
      </c>
      <c r="S16" s="4">
        <f t="shared" si="20"/>
        <v>0.0906432748538018</v>
      </c>
      <c r="T16" s="4">
        <f t="shared" si="21"/>
        <v>0.239766081871345</v>
      </c>
      <c r="U16" s="4">
        <f t="shared" si="22"/>
        <v>0.353801169590643</v>
      </c>
      <c r="V16" s="4">
        <f t="shared" si="23"/>
        <v>0.662280701754386</v>
      </c>
      <c r="W16" s="4">
        <f t="shared" si="24"/>
        <v>1</v>
      </c>
      <c r="X16" s="4">
        <f t="shared" si="25"/>
        <v>0.807017543859649</v>
      </c>
    </row>
    <row r="17" spans="1:24">
      <c r="A17" s="218" t="s">
        <v>21</v>
      </c>
      <c r="B17" s="4">
        <v>5.24</v>
      </c>
      <c r="C17" s="4">
        <v>5.22</v>
      </c>
      <c r="D17">
        <v>8.91</v>
      </c>
      <c r="E17">
        <v>8</v>
      </c>
      <c r="F17" s="4">
        <v>8.53</v>
      </c>
      <c r="G17">
        <v>8.84</v>
      </c>
      <c r="H17" s="4">
        <v>10.25</v>
      </c>
      <c r="I17" s="4">
        <v>8.46</v>
      </c>
      <c r="J17" s="4">
        <v>10.34</v>
      </c>
      <c r="K17" s="4">
        <v>12.38</v>
      </c>
      <c r="L17" s="4">
        <f t="shared" si="13"/>
        <v>12.38</v>
      </c>
      <c r="M17" s="4">
        <f t="shared" si="14"/>
        <v>5.22</v>
      </c>
      <c r="N17" s="4">
        <f t="shared" si="15"/>
        <v>7.16</v>
      </c>
      <c r="O17" s="4">
        <f t="shared" si="16"/>
        <v>0.00279329608938554</v>
      </c>
      <c r="P17" s="4">
        <f t="shared" si="17"/>
        <v>0</v>
      </c>
      <c r="Q17" s="4">
        <f t="shared" si="18"/>
        <v>0.51536312849162</v>
      </c>
      <c r="R17" s="4">
        <f t="shared" si="19"/>
        <v>0.388268156424581</v>
      </c>
      <c r="S17" s="4">
        <f t="shared" si="20"/>
        <v>0.462290502793296</v>
      </c>
      <c r="T17" s="4">
        <f t="shared" si="21"/>
        <v>0.505586592178771</v>
      </c>
      <c r="U17" s="4">
        <f t="shared" si="22"/>
        <v>0.702513966480447</v>
      </c>
      <c r="V17" s="4">
        <f t="shared" si="23"/>
        <v>0.452513966480447</v>
      </c>
      <c r="W17" s="4">
        <f t="shared" si="24"/>
        <v>0.715083798882681</v>
      </c>
      <c r="X17" s="4">
        <f t="shared" si="25"/>
        <v>1</v>
      </c>
    </row>
    <row r="18" spans="1:24">
      <c r="A18" s="218" t="s">
        <v>22</v>
      </c>
      <c r="B18" s="4">
        <v>98.63</v>
      </c>
      <c r="C18" s="4">
        <v>95.86</v>
      </c>
      <c r="D18">
        <v>99.09</v>
      </c>
      <c r="E18">
        <v>97.04</v>
      </c>
      <c r="F18" s="4">
        <v>97.27</v>
      </c>
      <c r="G18">
        <v>97.52</v>
      </c>
      <c r="H18" s="4">
        <v>98.19</v>
      </c>
      <c r="I18" s="4">
        <v>98.39</v>
      </c>
      <c r="J18" s="4">
        <v>98.43</v>
      </c>
      <c r="K18" s="4">
        <v>98.59</v>
      </c>
      <c r="L18" s="4">
        <f t="shared" si="13"/>
        <v>99.09</v>
      </c>
      <c r="M18" s="4">
        <f t="shared" si="14"/>
        <v>95.86</v>
      </c>
      <c r="N18" s="4">
        <f t="shared" si="15"/>
        <v>3.23</v>
      </c>
      <c r="O18" s="4">
        <f t="shared" si="16"/>
        <v>0.857585139318883</v>
      </c>
      <c r="P18" s="4">
        <f t="shared" si="17"/>
        <v>0</v>
      </c>
      <c r="Q18" s="4">
        <f t="shared" si="18"/>
        <v>1</v>
      </c>
      <c r="R18" s="4">
        <f t="shared" si="19"/>
        <v>0.365325077399382</v>
      </c>
      <c r="S18" s="4">
        <f t="shared" si="20"/>
        <v>0.436532507739936</v>
      </c>
      <c r="T18" s="4">
        <f t="shared" si="21"/>
        <v>0.51393188854489</v>
      </c>
      <c r="U18" s="4">
        <f t="shared" si="22"/>
        <v>0.721362229102166</v>
      </c>
      <c r="V18" s="4">
        <f t="shared" si="23"/>
        <v>0.783281733746129</v>
      </c>
      <c r="W18" s="4">
        <f t="shared" si="24"/>
        <v>0.795665634674924</v>
      </c>
      <c r="X18" s="4">
        <f t="shared" si="25"/>
        <v>0.845201238390093</v>
      </c>
    </row>
    <row r="19" spans="1:24">
      <c r="A19" s="218" t="s">
        <v>23</v>
      </c>
      <c r="B19" s="4">
        <v>10989</v>
      </c>
      <c r="C19" s="4">
        <v>10566</v>
      </c>
      <c r="D19">
        <v>6865</v>
      </c>
      <c r="E19">
        <v>5613</v>
      </c>
      <c r="F19" s="4">
        <v>5536</v>
      </c>
      <c r="G19">
        <v>5780</v>
      </c>
      <c r="H19" s="4">
        <v>5695</v>
      </c>
      <c r="I19" s="4">
        <v>6513</v>
      </c>
      <c r="J19" s="4">
        <v>6692</v>
      </c>
      <c r="K19" s="4">
        <v>6793</v>
      </c>
      <c r="L19" s="4">
        <f t="shared" si="13"/>
        <v>10989</v>
      </c>
      <c r="M19" s="4">
        <f t="shared" si="14"/>
        <v>5536</v>
      </c>
      <c r="N19" s="4">
        <f t="shared" si="15"/>
        <v>5453</v>
      </c>
      <c r="O19" s="4">
        <f>(L19-B19)/N19</f>
        <v>0</v>
      </c>
      <c r="P19" s="4">
        <f>(L19-C19)/N19</f>
        <v>0.0775719787273061</v>
      </c>
      <c r="Q19" s="4">
        <f>(L19-D19)/N19</f>
        <v>0.756280946268109</v>
      </c>
      <c r="R19" s="4">
        <f>(L19-E19)/N19</f>
        <v>0.985879332477535</v>
      </c>
      <c r="S19" s="4">
        <f>(L19-F19)/N19</f>
        <v>1</v>
      </c>
      <c r="T19" s="4">
        <f>(L19-G19)/N19</f>
        <v>0.955253988630112</v>
      </c>
      <c r="U19" s="4">
        <f>(L19-H19)/N19</f>
        <v>0.970841738492573</v>
      </c>
      <c r="V19" s="4">
        <f>(L19-I19)/N19</f>
        <v>0.820832569227948</v>
      </c>
      <c r="W19" s="4">
        <f>(L19-J19)/N19</f>
        <v>0.78800660187053</v>
      </c>
      <c r="X19" s="4">
        <f>(L19-K19)/N19</f>
        <v>0.769484687328076</v>
      </c>
    </row>
    <row r="20" spans="1:24">
      <c r="A20" s="218" t="s">
        <v>24</v>
      </c>
      <c r="B20" s="4">
        <v>64029</v>
      </c>
      <c r="C20" s="4">
        <v>64029</v>
      </c>
      <c r="D20">
        <v>12908</v>
      </c>
      <c r="E20">
        <v>5137</v>
      </c>
      <c r="F20" s="4">
        <v>4227</v>
      </c>
      <c r="G20">
        <v>3512</v>
      </c>
      <c r="H20" s="4">
        <v>3317</v>
      </c>
      <c r="I20" s="4">
        <v>2897</v>
      </c>
      <c r="J20" s="4">
        <v>2468</v>
      </c>
      <c r="K20" s="4">
        <v>2652</v>
      </c>
      <c r="L20" s="4">
        <f t="shared" si="13"/>
        <v>64029</v>
      </c>
      <c r="M20" s="4">
        <f t="shared" si="14"/>
        <v>2468</v>
      </c>
      <c r="N20" s="4">
        <f t="shared" si="15"/>
        <v>61561</v>
      </c>
      <c r="O20" s="4">
        <f>(L20-B20)/N20</f>
        <v>0</v>
      </c>
      <c r="P20" s="4">
        <f>(L20-C20)/N20</f>
        <v>0</v>
      </c>
      <c r="Q20" s="4">
        <f>(L20-D20)/N20</f>
        <v>0.83041211156414</v>
      </c>
      <c r="R20" s="4">
        <f>(L20-E20)/N20</f>
        <v>0.956644628904664</v>
      </c>
      <c r="S20" s="4">
        <f>(L20-F20)/N20</f>
        <v>0.971426714965644</v>
      </c>
      <c r="T20" s="4">
        <f>(L20-G20)/N20</f>
        <v>0.983041211156414</v>
      </c>
      <c r="U20" s="4">
        <f>(L20-H20)/N20</f>
        <v>0.986208801026624</v>
      </c>
      <c r="V20" s="4">
        <f>(L20-I20)/N20</f>
        <v>0.993031302285538</v>
      </c>
      <c r="W20" s="4">
        <f>(L20-J20)/N20</f>
        <v>1</v>
      </c>
      <c r="X20" s="4">
        <f>(L20-K20)/N20</f>
        <v>0.997011094686571</v>
      </c>
    </row>
    <row r="21" ht="15.75" spans="1:24">
      <c r="A21" s="220" t="s">
        <v>25</v>
      </c>
      <c r="B21" s="4">
        <v>99.96</v>
      </c>
      <c r="C21" s="4">
        <v>100</v>
      </c>
      <c r="D21">
        <v>99.93</v>
      </c>
      <c r="E21">
        <v>99.93</v>
      </c>
      <c r="F21" s="4">
        <v>99.79</v>
      </c>
      <c r="G21" s="4">
        <v>99.45</v>
      </c>
      <c r="H21" s="4">
        <v>99.06</v>
      </c>
      <c r="I21" s="4">
        <v>98.92</v>
      </c>
      <c r="J21" s="4">
        <v>98.25</v>
      </c>
      <c r="K21" s="4">
        <v>98.08</v>
      </c>
      <c r="L21" s="4">
        <f t="shared" si="13"/>
        <v>100</v>
      </c>
      <c r="M21" s="4">
        <f t="shared" si="14"/>
        <v>98.08</v>
      </c>
      <c r="N21" s="4">
        <f t="shared" si="15"/>
        <v>1.92</v>
      </c>
      <c r="O21" s="4">
        <f t="shared" ref="O21:O24" si="26">(B21-M21)/N21</f>
        <v>0.979166666666663</v>
      </c>
      <c r="P21" s="4">
        <f t="shared" ref="P21:P24" si="27">(C21-M21)/N21</f>
        <v>1</v>
      </c>
      <c r="Q21" s="4">
        <f t="shared" ref="Q21:Q24" si="28">(D21-M21)/N21</f>
        <v>0.96354166666667</v>
      </c>
      <c r="R21" s="4">
        <f t="shared" ref="R21:R24" si="29">(E21-M21)/N21</f>
        <v>0.96354166666667</v>
      </c>
      <c r="S21" s="4">
        <f t="shared" ref="S21:S24" si="30">(F21-M21)/N21</f>
        <v>0.890625000000003</v>
      </c>
      <c r="T21" s="4">
        <f t="shared" ref="T21:T24" si="31">(G21-M21)/N21</f>
        <v>0.713541666666668</v>
      </c>
      <c r="U21" s="4">
        <f t="shared" ref="U21:U24" si="32">(H21-M21)/N21</f>
        <v>0.510416666666668</v>
      </c>
      <c r="V21" s="4">
        <f t="shared" ref="V21:V24" si="33">(I21-M21)/N21</f>
        <v>0.437500000000001</v>
      </c>
      <c r="W21" s="4">
        <f t="shared" ref="W21:W24" si="34">(J21-M21)/N21</f>
        <v>0.0885416666666675</v>
      </c>
      <c r="X21" s="4">
        <f t="shared" ref="X21:X24" si="35">(K21-M21)/N21</f>
        <v>0</v>
      </c>
    </row>
    <row r="22" ht="15.75" spans="1:24">
      <c r="A22" s="220" t="s">
        <v>26</v>
      </c>
      <c r="B22" s="4">
        <v>100</v>
      </c>
      <c r="C22" s="4">
        <v>99.26</v>
      </c>
      <c r="D22">
        <v>98.76</v>
      </c>
      <c r="E22">
        <v>98.76</v>
      </c>
      <c r="F22" s="4">
        <v>98.61</v>
      </c>
      <c r="G22" s="4">
        <v>98.22</v>
      </c>
      <c r="H22" s="4">
        <v>97.58</v>
      </c>
      <c r="I22" s="4">
        <v>97.45</v>
      </c>
      <c r="J22" s="4">
        <v>97.66</v>
      </c>
      <c r="K22" s="4">
        <v>97.9</v>
      </c>
      <c r="L22" s="4">
        <f t="shared" si="13"/>
        <v>100</v>
      </c>
      <c r="M22" s="4">
        <f t="shared" si="14"/>
        <v>97.45</v>
      </c>
      <c r="N22" s="4">
        <f t="shared" si="15"/>
        <v>2.55</v>
      </c>
      <c r="O22" s="4">
        <f t="shared" si="26"/>
        <v>1</v>
      </c>
      <c r="P22" s="4">
        <f t="shared" si="27"/>
        <v>0.709803921568629</v>
      </c>
      <c r="Q22" s="4">
        <f t="shared" si="28"/>
        <v>0.51372549019608</v>
      </c>
      <c r="R22" s="4">
        <f t="shared" si="29"/>
        <v>0.51372549019608</v>
      </c>
      <c r="S22" s="4">
        <f t="shared" si="30"/>
        <v>0.454901960784313</v>
      </c>
      <c r="T22" s="4">
        <f t="shared" si="31"/>
        <v>0.301960784313724</v>
      </c>
      <c r="U22" s="4">
        <f t="shared" si="32"/>
        <v>0.050980392156861</v>
      </c>
      <c r="V22" s="4">
        <f t="shared" si="33"/>
        <v>0</v>
      </c>
      <c r="W22" s="4">
        <f t="shared" si="34"/>
        <v>0.0823529411764682</v>
      </c>
      <c r="X22" s="4">
        <f t="shared" si="35"/>
        <v>0.176470588235295</v>
      </c>
    </row>
    <row r="23" spans="1:24">
      <c r="A23" s="221" t="s">
        <v>27</v>
      </c>
      <c r="B23" s="218">
        <v>0.6571</v>
      </c>
      <c r="C23" s="218">
        <v>0.6763</v>
      </c>
      <c r="D23" s="218">
        <v>0.6936</v>
      </c>
      <c r="E23" s="218">
        <v>0.6948</v>
      </c>
      <c r="F23" s="218">
        <v>0.6742</v>
      </c>
      <c r="G23" s="218">
        <v>0.6177</v>
      </c>
      <c r="H23" s="218">
        <v>0.6629</v>
      </c>
      <c r="I23" s="218">
        <v>0.6759</v>
      </c>
      <c r="J23" s="218">
        <v>0.689</v>
      </c>
      <c r="K23" s="218">
        <v>0.6716</v>
      </c>
      <c r="L23" s="4">
        <f t="shared" si="13"/>
        <v>0.6948</v>
      </c>
      <c r="M23" s="4">
        <f t="shared" si="14"/>
        <v>0.6177</v>
      </c>
      <c r="N23" s="4">
        <f t="shared" si="15"/>
        <v>0.0770999999999999</v>
      </c>
      <c r="O23" s="4">
        <f t="shared" si="26"/>
        <v>0.511024643320363</v>
      </c>
      <c r="P23" s="4">
        <f t="shared" si="27"/>
        <v>0.760051880674449</v>
      </c>
      <c r="Q23" s="4">
        <f t="shared" si="28"/>
        <v>0.98443579766537</v>
      </c>
      <c r="R23" s="4">
        <f t="shared" si="29"/>
        <v>1</v>
      </c>
      <c r="S23" s="4">
        <f t="shared" si="30"/>
        <v>0.732814526588846</v>
      </c>
      <c r="T23" s="4">
        <f t="shared" si="31"/>
        <v>0</v>
      </c>
      <c r="U23" s="4">
        <f t="shared" si="32"/>
        <v>0.586251621271077</v>
      </c>
      <c r="V23" s="4">
        <f t="shared" si="33"/>
        <v>0.754863813229571</v>
      </c>
      <c r="W23" s="4">
        <f t="shared" si="34"/>
        <v>0.924773022049286</v>
      </c>
      <c r="X23" s="4">
        <f t="shared" si="35"/>
        <v>0.699092088197146</v>
      </c>
    </row>
    <row r="24" spans="1:24">
      <c r="A24" s="221" t="s">
        <v>28</v>
      </c>
      <c r="B24" s="218">
        <v>1.005</v>
      </c>
      <c r="C24" s="218">
        <v>1.0298</v>
      </c>
      <c r="D24" s="218">
        <v>0.9812</v>
      </c>
      <c r="E24" s="218">
        <v>1.0309</v>
      </c>
      <c r="F24" s="218">
        <v>1.068</v>
      </c>
      <c r="G24" s="218">
        <v>0.9719</v>
      </c>
      <c r="H24" s="218">
        <v>1.029</v>
      </c>
      <c r="I24" s="218">
        <v>1.0674</v>
      </c>
      <c r="J24" s="218">
        <v>1.0592</v>
      </c>
      <c r="K24" s="218">
        <v>1.0945</v>
      </c>
      <c r="L24" s="4">
        <f t="shared" si="13"/>
        <v>1.0945</v>
      </c>
      <c r="M24" s="4">
        <f t="shared" si="14"/>
        <v>0.9719</v>
      </c>
      <c r="N24" s="4">
        <f t="shared" si="15"/>
        <v>0.1226</v>
      </c>
      <c r="O24" s="4">
        <f t="shared" si="26"/>
        <v>0.269983686786296</v>
      </c>
      <c r="P24" s="4">
        <f t="shared" si="27"/>
        <v>0.472267536704731</v>
      </c>
      <c r="Q24" s="4">
        <f t="shared" si="28"/>
        <v>0.0758564437194125</v>
      </c>
      <c r="R24" s="4">
        <f t="shared" si="29"/>
        <v>0.481239804241435</v>
      </c>
      <c r="S24" s="4">
        <f t="shared" si="30"/>
        <v>0.783849918433932</v>
      </c>
      <c r="T24" s="4">
        <f t="shared" si="31"/>
        <v>0</v>
      </c>
      <c r="U24" s="4">
        <f t="shared" si="32"/>
        <v>0.46574225122349</v>
      </c>
      <c r="V24" s="4">
        <f t="shared" si="33"/>
        <v>0.778955954323001</v>
      </c>
      <c r="W24" s="4">
        <f t="shared" si="34"/>
        <v>0.712071778140293</v>
      </c>
      <c r="X24" s="4">
        <f t="shared" si="35"/>
        <v>1</v>
      </c>
    </row>
    <row r="25" spans="1:24">
      <c r="L25" s="4"/>
      <c r="M25" s="4"/>
      <c r="N25" s="4"/>
      <c r="O25" s="4"/>
      <c r="P25" s="4"/>
      <c r="Q25" s="4"/>
      <c r="R25" s="4"/>
      <c r="S25" s="4"/>
      <c r="T25" s="4"/>
    </row>
    <row r="26" spans="1:24">
      <c r="L26" s="4"/>
      <c r="M26" s="4"/>
      <c r="N26" s="4"/>
      <c r="O26" s="4">
        <v>2014</v>
      </c>
      <c r="P26" s="4">
        <v>2015</v>
      </c>
      <c r="Q26" s="4">
        <v>2016</v>
      </c>
      <c r="R26" s="4">
        <v>2017</v>
      </c>
      <c r="S26" s="4">
        <v>2018</v>
      </c>
      <c r="T26" s="4">
        <v>2019</v>
      </c>
      <c r="U26" s="4">
        <v>2020</v>
      </c>
      <c r="V26" s="4">
        <v>2021</v>
      </c>
      <c r="W26" s="4">
        <v>2022</v>
      </c>
      <c r="X26" s="4">
        <v>2023</v>
      </c>
    </row>
    <row r="27" spans="1:24">
      <c r="L27" s="4"/>
      <c r="M27" s="4"/>
      <c r="N27" s="4"/>
      <c r="O27" s="4">
        <f t="shared" ref="O27:X27" si="36">ROUND(O2,4)+0.0001</f>
        <v>0.0267</v>
      </c>
      <c r="P27" s="4">
        <f t="shared" si="36"/>
        <v>0.1104</v>
      </c>
      <c r="Q27" s="4">
        <f t="shared" si="36"/>
        <v>0.2084</v>
      </c>
      <c r="R27" s="4">
        <f t="shared" si="36"/>
        <v>0.0001</v>
      </c>
      <c r="S27" s="4">
        <f t="shared" si="36"/>
        <v>0.4825</v>
      </c>
      <c r="T27" s="4">
        <f t="shared" si="36"/>
        <v>0.4466</v>
      </c>
      <c r="U27" s="4">
        <f t="shared" si="36"/>
        <v>0.5375</v>
      </c>
      <c r="V27" s="4">
        <f t="shared" si="36"/>
        <v>0.7764</v>
      </c>
      <c r="W27" s="4">
        <f t="shared" si="36"/>
        <v>0.8845</v>
      </c>
      <c r="X27" s="4">
        <f t="shared" si="36"/>
        <v>1.0001</v>
      </c>
    </row>
    <row r="28" spans="1:24">
      <c r="L28" s="4"/>
      <c r="M28" s="4"/>
      <c r="N28" s="4"/>
      <c r="O28" s="4">
        <f t="shared" ref="O28:X28" si="37">ROUND(O3,4)+0.0001</f>
        <v>0.0001</v>
      </c>
      <c r="P28" s="4">
        <f t="shared" si="37"/>
        <v>0.1204</v>
      </c>
      <c r="Q28" s="4">
        <f t="shared" si="37"/>
        <v>0.1204</v>
      </c>
      <c r="R28" s="4">
        <f t="shared" si="37"/>
        <v>0.5039</v>
      </c>
      <c r="S28" s="4">
        <f t="shared" si="37"/>
        <v>0.7745</v>
      </c>
      <c r="T28" s="4">
        <f t="shared" si="37"/>
        <v>0.7971</v>
      </c>
      <c r="U28" s="4">
        <f t="shared" si="37"/>
        <v>0.9099</v>
      </c>
      <c r="V28" s="4">
        <f t="shared" si="37"/>
        <v>0.9775</v>
      </c>
      <c r="W28" s="4">
        <f t="shared" si="37"/>
        <v>1.0001</v>
      </c>
      <c r="X28" s="4">
        <f t="shared" si="37"/>
        <v>1.0001</v>
      </c>
    </row>
    <row r="29" spans="1:24">
      <c r="L29" s="4"/>
      <c r="M29" s="4"/>
      <c r="N29" s="4"/>
      <c r="O29" s="4">
        <f t="shared" ref="O29:X29" si="38">ROUND(O4,4)+0.0001</f>
        <v>0.1937</v>
      </c>
      <c r="P29" s="4">
        <f t="shared" si="38"/>
        <v>0.256</v>
      </c>
      <c r="Q29" s="4">
        <f t="shared" si="38"/>
        <v>0.1444</v>
      </c>
      <c r="R29" s="4">
        <f t="shared" si="38"/>
        <v>0.2758</v>
      </c>
      <c r="S29" s="4">
        <f t="shared" si="38"/>
        <v>0.2724</v>
      </c>
      <c r="T29" s="4">
        <f t="shared" si="38"/>
        <v>0.12</v>
      </c>
      <c r="U29" s="4">
        <f t="shared" si="38"/>
        <v>0.0009</v>
      </c>
      <c r="V29" s="4">
        <f t="shared" si="38"/>
        <v>1.0001</v>
      </c>
      <c r="W29" s="4">
        <f t="shared" si="38"/>
        <v>0.0001</v>
      </c>
      <c r="X29" s="4">
        <f t="shared" si="38"/>
        <v>0.0001</v>
      </c>
    </row>
    <row r="30" spans="1:24">
      <c r="L30" s="4"/>
      <c r="M30" s="4"/>
      <c r="N30" s="4"/>
      <c r="O30" s="4">
        <f t="shared" ref="O30:X30" si="39">ROUND(O5,4)+0.0001</f>
        <v>0.0309</v>
      </c>
      <c r="P30" s="4">
        <f t="shared" si="39"/>
        <v>0.1078</v>
      </c>
      <c r="Q30" s="4">
        <f t="shared" si="39"/>
        <v>0.2155</v>
      </c>
      <c r="R30" s="4">
        <f t="shared" si="39"/>
        <v>0.0001</v>
      </c>
      <c r="S30" s="4">
        <f t="shared" si="39"/>
        <v>0.477</v>
      </c>
      <c r="T30" s="4">
        <f t="shared" si="39"/>
        <v>0.4463</v>
      </c>
      <c r="U30" s="4">
        <f t="shared" si="39"/>
        <v>0.5386</v>
      </c>
      <c r="V30" s="4">
        <f t="shared" si="39"/>
        <v>0.7693</v>
      </c>
      <c r="W30" s="4">
        <f t="shared" si="39"/>
        <v>0.877</v>
      </c>
      <c r="X30" s="4">
        <f t="shared" si="39"/>
        <v>1.0001</v>
      </c>
    </row>
    <row r="31" spans="1:24">
      <c r="L31" s="4"/>
      <c r="M31" s="4"/>
      <c r="N31" s="4"/>
      <c r="O31" s="4">
        <f t="shared" ref="O31:X31" si="40">ROUND(O6,4)+0.0001</f>
        <v>0.0001</v>
      </c>
      <c r="P31" s="4">
        <f t="shared" si="40"/>
        <v>0.3454</v>
      </c>
      <c r="Q31" s="4">
        <f t="shared" si="40"/>
        <v>0.6851</v>
      </c>
      <c r="R31" s="4">
        <f t="shared" si="40"/>
        <v>0.6721</v>
      </c>
      <c r="S31" s="4">
        <f t="shared" si="40"/>
        <v>0.7774</v>
      </c>
      <c r="T31" s="4">
        <f t="shared" si="40"/>
        <v>0.7977</v>
      </c>
      <c r="U31" s="4">
        <f t="shared" si="40"/>
        <v>0.7771</v>
      </c>
      <c r="V31" s="4">
        <f t="shared" si="40"/>
        <v>0.0646</v>
      </c>
      <c r="W31" s="4">
        <f t="shared" si="40"/>
        <v>0.7925</v>
      </c>
      <c r="X31" s="4">
        <f t="shared" si="40"/>
        <v>1.0001</v>
      </c>
    </row>
    <row r="32" spans="1:24">
      <c r="L32" s="4"/>
      <c r="M32" s="4"/>
      <c r="N32" s="4"/>
      <c r="O32" s="4">
        <f t="shared" ref="O32:X32" si="41">ROUND(O7,4)+0.0001</f>
        <v>0.0001</v>
      </c>
      <c r="P32" s="4">
        <f t="shared" si="41"/>
        <v>0.1264</v>
      </c>
      <c r="Q32" s="4">
        <f t="shared" si="41"/>
        <v>0.2702</v>
      </c>
      <c r="R32" s="4">
        <f t="shared" si="41"/>
        <v>0.3218</v>
      </c>
      <c r="S32" s="4">
        <f t="shared" si="41"/>
        <v>0.4195</v>
      </c>
      <c r="T32" s="4">
        <f t="shared" si="41"/>
        <v>0.7087</v>
      </c>
      <c r="U32" s="4">
        <f t="shared" si="41"/>
        <v>0.7608</v>
      </c>
      <c r="V32" s="4">
        <f t="shared" si="41"/>
        <v>0.8298</v>
      </c>
      <c r="W32" s="4">
        <f t="shared" si="41"/>
        <v>0.9086</v>
      </c>
      <c r="X32" s="4">
        <f t="shared" si="41"/>
        <v>1.0001</v>
      </c>
    </row>
    <row r="33" spans="12:24">
      <c r="L33" s="4"/>
      <c r="M33" s="4"/>
      <c r="N33" s="4"/>
      <c r="O33" s="4">
        <f t="shared" ref="O33:X33" si="42">ROUND(O8,4)+0.0001</f>
        <v>0.0001</v>
      </c>
      <c r="P33" s="4">
        <f t="shared" si="42"/>
        <v>0.134</v>
      </c>
      <c r="Q33" s="4">
        <f t="shared" si="42"/>
        <v>0.313</v>
      </c>
      <c r="R33" s="4">
        <f t="shared" si="42"/>
        <v>0.4035</v>
      </c>
      <c r="S33" s="4">
        <f t="shared" si="42"/>
        <v>0.4591</v>
      </c>
      <c r="T33" s="4">
        <f t="shared" si="42"/>
        <v>0.5716</v>
      </c>
      <c r="U33" s="4">
        <f t="shared" si="42"/>
        <v>0.5719</v>
      </c>
      <c r="V33" s="4">
        <f t="shared" si="42"/>
        <v>0.1986</v>
      </c>
      <c r="W33" s="4">
        <f t="shared" si="42"/>
        <v>0.8266</v>
      </c>
      <c r="X33" s="4">
        <f t="shared" si="42"/>
        <v>1.0001</v>
      </c>
    </row>
    <row r="34" spans="12:24">
      <c r="L34" s="4"/>
      <c r="M34" s="4"/>
      <c r="N34" s="4"/>
      <c r="O34" s="4">
        <f t="shared" ref="O34:X34" si="43">ROUND(O9,4)+0.0001</f>
        <v>0.0001</v>
      </c>
      <c r="P34" s="4">
        <f t="shared" si="43"/>
        <v>0.0499</v>
      </c>
      <c r="Q34" s="4">
        <f t="shared" si="43"/>
        <v>0.1404</v>
      </c>
      <c r="R34" s="4">
        <f t="shared" si="43"/>
        <v>1.0001</v>
      </c>
      <c r="S34" s="4">
        <f t="shared" si="43"/>
        <v>0.3621</v>
      </c>
      <c r="T34" s="4">
        <f t="shared" si="43"/>
        <v>0.2399</v>
      </c>
      <c r="U34" s="4">
        <f t="shared" si="43"/>
        <v>0.2671</v>
      </c>
      <c r="V34" s="4">
        <f t="shared" si="43"/>
        <v>0.3168</v>
      </c>
      <c r="W34" s="4">
        <f t="shared" si="43"/>
        <v>0.3711</v>
      </c>
      <c r="X34" s="4">
        <f t="shared" si="43"/>
        <v>0.4028</v>
      </c>
    </row>
    <row r="35" spans="12:24">
      <c r="L35" s="4"/>
      <c r="M35" s="4"/>
      <c r="N35" s="4"/>
      <c r="O35" s="4">
        <f t="shared" ref="O35:X35" si="44">ROUND(O10,4)+0.0001</f>
        <v>1.0001</v>
      </c>
      <c r="P35" s="4">
        <f t="shared" si="44"/>
        <v>0.9539</v>
      </c>
      <c r="Q35" s="4">
        <f t="shared" si="44"/>
        <v>0.8572</v>
      </c>
      <c r="R35" s="4">
        <f t="shared" si="44"/>
        <v>0.7438</v>
      </c>
      <c r="S35" s="4">
        <f t="shared" si="44"/>
        <v>0.6598</v>
      </c>
      <c r="T35" s="4">
        <f t="shared" si="44"/>
        <v>0.5211</v>
      </c>
      <c r="U35" s="4">
        <f t="shared" si="44"/>
        <v>0.4413</v>
      </c>
      <c r="V35" s="4">
        <f t="shared" si="44"/>
        <v>0.4077</v>
      </c>
      <c r="W35" s="4">
        <f t="shared" si="44"/>
        <v>0.1724</v>
      </c>
      <c r="X35" s="4">
        <f t="shared" si="44"/>
        <v>0.0001</v>
      </c>
    </row>
    <row r="36" spans="12:24">
      <c r="L36" s="4"/>
      <c r="M36" s="4"/>
      <c r="N36" s="4"/>
      <c r="O36" s="4">
        <f t="shared" ref="O36:X36" si="45">ROUND(O11,4)+0.0001</f>
        <v>0.0001</v>
      </c>
      <c r="P36" s="4">
        <f t="shared" si="45"/>
        <v>0.1523</v>
      </c>
      <c r="Q36" s="4">
        <f t="shared" si="45"/>
        <v>0.3081</v>
      </c>
      <c r="R36" s="4">
        <f t="shared" si="45"/>
        <v>0.395</v>
      </c>
      <c r="S36" s="4">
        <f t="shared" si="45"/>
        <v>0.4747</v>
      </c>
      <c r="T36" s="4">
        <f t="shared" si="45"/>
        <v>0.6233</v>
      </c>
      <c r="U36" s="4">
        <f t="shared" si="45"/>
        <v>0.7682</v>
      </c>
      <c r="V36" s="4">
        <f t="shared" si="45"/>
        <v>0.8081</v>
      </c>
      <c r="W36" s="4">
        <f t="shared" si="45"/>
        <v>0.9168</v>
      </c>
      <c r="X36" s="4">
        <f t="shared" si="45"/>
        <v>1.0001</v>
      </c>
    </row>
    <row r="37" spans="12:24"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2:24">
      <c r="L38" s="4"/>
      <c r="M38" s="4"/>
      <c r="N38" s="4"/>
      <c r="O38" s="4">
        <f t="shared" ref="O38:X38" si="46">ROUND(O13,4)+0.0001</f>
        <v>1.0001</v>
      </c>
      <c r="P38" s="4">
        <f t="shared" si="46"/>
        <v>0.8847</v>
      </c>
      <c r="Q38" s="4">
        <f t="shared" si="46"/>
        <v>0.6924</v>
      </c>
      <c r="R38" s="4">
        <f t="shared" si="46"/>
        <v>0.5386</v>
      </c>
      <c r="S38" s="4">
        <f t="shared" si="46"/>
        <v>0.4616</v>
      </c>
      <c r="T38" s="4">
        <f t="shared" si="46"/>
        <v>0.3463</v>
      </c>
      <c r="U38" s="4">
        <f t="shared" si="46"/>
        <v>0.2693</v>
      </c>
      <c r="V38" s="4">
        <f t="shared" si="46"/>
        <v>0.2309</v>
      </c>
      <c r="W38" s="4">
        <f t="shared" si="46"/>
        <v>0.077</v>
      </c>
      <c r="X38" s="4">
        <f t="shared" si="46"/>
        <v>0.0001</v>
      </c>
    </row>
    <row r="39" spans="12:24">
      <c r="L39" s="4"/>
      <c r="M39" s="4"/>
      <c r="N39" s="4"/>
      <c r="O39" s="4">
        <f t="shared" ref="O39:X39" si="47">ROUND(O14,4)+0.0001</f>
        <v>0.0001</v>
      </c>
      <c r="P39" s="4">
        <f t="shared" si="47"/>
        <v>0.1601</v>
      </c>
      <c r="Q39" s="4">
        <f t="shared" si="47"/>
        <v>0.4001</v>
      </c>
      <c r="R39" s="4">
        <f t="shared" si="47"/>
        <v>0.9201</v>
      </c>
      <c r="S39" s="4">
        <f t="shared" si="47"/>
        <v>1.0001</v>
      </c>
      <c r="T39" s="4">
        <f t="shared" si="47"/>
        <v>0.8801</v>
      </c>
      <c r="U39" s="4">
        <f t="shared" si="47"/>
        <v>0.3601</v>
      </c>
      <c r="V39" s="4">
        <f t="shared" si="47"/>
        <v>0.2401</v>
      </c>
      <c r="W39" s="4">
        <f t="shared" si="47"/>
        <v>0.0401</v>
      </c>
      <c r="X39" s="4">
        <f t="shared" si="47"/>
        <v>0.4401</v>
      </c>
    </row>
    <row r="40" spans="12:24">
      <c r="L40" s="4"/>
      <c r="M40" s="4"/>
      <c r="N40" s="4"/>
      <c r="O40" s="4">
        <f t="shared" ref="O40:X40" si="48">ROUND(O15,4)+0.0001</f>
        <v>0.1668</v>
      </c>
      <c r="P40" s="4">
        <f t="shared" si="48"/>
        <v>0.5001</v>
      </c>
      <c r="Q40" s="4">
        <f t="shared" si="48"/>
        <v>0.1668</v>
      </c>
      <c r="R40" s="4">
        <f t="shared" si="48"/>
        <v>0.5001</v>
      </c>
      <c r="S40" s="4">
        <f t="shared" si="48"/>
        <v>0.0001</v>
      </c>
      <c r="T40" s="4">
        <f t="shared" si="48"/>
        <v>0.5001</v>
      </c>
      <c r="U40" s="4">
        <f t="shared" si="48"/>
        <v>1.0001</v>
      </c>
      <c r="V40" s="4">
        <f t="shared" si="48"/>
        <v>1.0001</v>
      </c>
      <c r="W40" s="4">
        <f t="shared" si="48"/>
        <v>0.5001</v>
      </c>
      <c r="X40" s="4">
        <f t="shared" si="48"/>
        <v>0.0001</v>
      </c>
    </row>
    <row r="41" spans="12:24">
      <c r="L41" s="4"/>
      <c r="M41" s="4"/>
      <c r="N41" s="4"/>
      <c r="O41" s="4">
        <f t="shared" ref="O41:X41" si="49">ROUND(O16,4)+0.0001</f>
        <v>0.8919</v>
      </c>
      <c r="P41" s="4">
        <f t="shared" si="49"/>
        <v>0.1302</v>
      </c>
      <c r="Q41" s="4">
        <f t="shared" si="49"/>
        <v>0.0001</v>
      </c>
      <c r="R41" s="4">
        <f t="shared" si="49"/>
        <v>0.0688</v>
      </c>
      <c r="S41" s="4">
        <f t="shared" si="49"/>
        <v>0.0907</v>
      </c>
      <c r="T41" s="4">
        <f t="shared" si="49"/>
        <v>0.2399</v>
      </c>
      <c r="U41" s="4">
        <f t="shared" si="49"/>
        <v>0.3539</v>
      </c>
      <c r="V41" s="4">
        <f t="shared" si="49"/>
        <v>0.6624</v>
      </c>
      <c r="W41" s="4">
        <f t="shared" si="49"/>
        <v>1.0001</v>
      </c>
      <c r="X41" s="4">
        <f t="shared" si="49"/>
        <v>0.8071</v>
      </c>
    </row>
    <row r="42" spans="12:24">
      <c r="L42" s="4"/>
      <c r="M42" s="4"/>
      <c r="N42" s="4"/>
      <c r="O42" s="4">
        <f t="shared" ref="O42:X42" si="50">ROUND(O17,4)+0.0001</f>
        <v>0.0029</v>
      </c>
      <c r="P42" s="4">
        <f t="shared" si="50"/>
        <v>0.0001</v>
      </c>
      <c r="Q42" s="4">
        <f t="shared" si="50"/>
        <v>0.5155</v>
      </c>
      <c r="R42" s="4">
        <f t="shared" si="50"/>
        <v>0.3884</v>
      </c>
      <c r="S42" s="4">
        <f t="shared" si="50"/>
        <v>0.4624</v>
      </c>
      <c r="T42" s="4">
        <f t="shared" si="50"/>
        <v>0.5057</v>
      </c>
      <c r="U42" s="4">
        <f t="shared" si="50"/>
        <v>0.7026</v>
      </c>
      <c r="V42" s="4">
        <f t="shared" si="50"/>
        <v>0.4526</v>
      </c>
      <c r="W42" s="4">
        <f t="shared" si="50"/>
        <v>0.7152</v>
      </c>
      <c r="X42" s="4">
        <f t="shared" si="50"/>
        <v>1.0001</v>
      </c>
    </row>
    <row r="43" spans="12:24">
      <c r="L43" s="4"/>
      <c r="M43" s="4"/>
      <c r="N43" s="4"/>
      <c r="O43" s="4">
        <f t="shared" ref="O43:X43" si="51">ROUND(O18,4)+0.0001</f>
        <v>0.8577</v>
      </c>
      <c r="P43" s="4">
        <f t="shared" si="51"/>
        <v>0.0001</v>
      </c>
      <c r="Q43" s="4">
        <f t="shared" si="51"/>
        <v>1.0001</v>
      </c>
      <c r="R43" s="4">
        <f t="shared" si="51"/>
        <v>0.3654</v>
      </c>
      <c r="S43" s="4">
        <f t="shared" si="51"/>
        <v>0.4366</v>
      </c>
      <c r="T43" s="4">
        <f t="shared" si="51"/>
        <v>0.514</v>
      </c>
      <c r="U43" s="4">
        <f t="shared" si="51"/>
        <v>0.7215</v>
      </c>
      <c r="V43" s="4">
        <f t="shared" si="51"/>
        <v>0.7834</v>
      </c>
      <c r="W43" s="4">
        <f t="shared" si="51"/>
        <v>0.7958</v>
      </c>
      <c r="X43" s="4">
        <f t="shared" si="51"/>
        <v>0.8453</v>
      </c>
    </row>
    <row r="44" spans="12:24">
      <c r="L44" s="4"/>
      <c r="M44" s="4"/>
      <c r="N44" s="4"/>
      <c r="O44" s="4">
        <f t="shared" ref="O44:X44" si="52">ROUND(O19,4)+0.0001</f>
        <v>0.0001</v>
      </c>
      <c r="P44" s="4">
        <f t="shared" si="52"/>
        <v>0.0777</v>
      </c>
      <c r="Q44" s="4">
        <f t="shared" si="52"/>
        <v>0.7564</v>
      </c>
      <c r="R44" s="4">
        <f t="shared" si="52"/>
        <v>0.986</v>
      </c>
      <c r="S44" s="4">
        <f t="shared" si="52"/>
        <v>1.0001</v>
      </c>
      <c r="T44" s="4">
        <f t="shared" si="52"/>
        <v>0.9554</v>
      </c>
      <c r="U44" s="4">
        <f t="shared" si="52"/>
        <v>0.9709</v>
      </c>
      <c r="V44" s="4">
        <f t="shared" si="52"/>
        <v>0.8209</v>
      </c>
      <c r="W44" s="4">
        <f t="shared" si="52"/>
        <v>0.7881</v>
      </c>
      <c r="X44" s="4">
        <f t="shared" si="52"/>
        <v>0.7696</v>
      </c>
    </row>
    <row r="45" spans="12:24">
      <c r="L45" s="4"/>
      <c r="M45" s="4"/>
      <c r="N45" s="4"/>
      <c r="O45" s="4">
        <f t="shared" ref="O45:X45" si="53">ROUND(O20,4)+0.0001</f>
        <v>0.0001</v>
      </c>
      <c r="P45" s="4">
        <f t="shared" si="53"/>
        <v>0.0001</v>
      </c>
      <c r="Q45" s="4">
        <f t="shared" si="53"/>
        <v>0.8305</v>
      </c>
      <c r="R45" s="4">
        <f t="shared" si="53"/>
        <v>0.9567</v>
      </c>
      <c r="S45" s="4">
        <f t="shared" si="53"/>
        <v>0.9715</v>
      </c>
      <c r="T45" s="4">
        <f t="shared" si="53"/>
        <v>0.9831</v>
      </c>
      <c r="U45" s="4">
        <f t="shared" si="53"/>
        <v>0.9863</v>
      </c>
      <c r="V45" s="4">
        <f t="shared" si="53"/>
        <v>0.9931</v>
      </c>
      <c r="W45" s="4">
        <f t="shared" si="53"/>
        <v>1.0001</v>
      </c>
      <c r="X45" s="4">
        <f t="shared" si="53"/>
        <v>0.9971</v>
      </c>
    </row>
    <row r="46" spans="12:24">
      <c r="L46" s="4"/>
      <c r="M46" s="4"/>
      <c r="N46" s="4"/>
      <c r="O46" s="4">
        <f t="shared" ref="O46:X46" si="54">ROUND(O21,4)+0.0001</f>
        <v>0.9793</v>
      </c>
      <c r="P46" s="4">
        <f t="shared" si="54"/>
        <v>1.0001</v>
      </c>
      <c r="Q46" s="4">
        <f t="shared" si="54"/>
        <v>0.9636</v>
      </c>
      <c r="R46" s="4">
        <f t="shared" si="54"/>
        <v>0.9636</v>
      </c>
      <c r="S46" s="4">
        <f t="shared" si="54"/>
        <v>0.8907</v>
      </c>
      <c r="T46" s="4">
        <f t="shared" si="54"/>
        <v>0.7136</v>
      </c>
      <c r="U46" s="4">
        <f t="shared" si="54"/>
        <v>0.5105</v>
      </c>
      <c r="V46" s="4">
        <f t="shared" si="54"/>
        <v>0.4376</v>
      </c>
      <c r="W46" s="4">
        <f t="shared" si="54"/>
        <v>0.0886</v>
      </c>
      <c r="X46" s="4">
        <f t="shared" si="54"/>
        <v>0.0001</v>
      </c>
    </row>
    <row r="47" spans="12:24">
      <c r="L47" s="4"/>
      <c r="M47" s="4"/>
      <c r="N47" s="4"/>
      <c r="O47" s="4">
        <f t="shared" ref="O47:X47" si="55">ROUND(O22,4)+0.0001</f>
        <v>1.0001</v>
      </c>
      <c r="P47" s="4">
        <f t="shared" si="55"/>
        <v>0.7099</v>
      </c>
      <c r="Q47" s="4">
        <f t="shared" si="55"/>
        <v>0.5138</v>
      </c>
      <c r="R47" s="4">
        <f t="shared" si="55"/>
        <v>0.5138</v>
      </c>
      <c r="S47" s="4">
        <f t="shared" si="55"/>
        <v>0.455</v>
      </c>
      <c r="T47" s="4">
        <f t="shared" si="55"/>
        <v>0.3021</v>
      </c>
      <c r="U47" s="4">
        <f t="shared" si="55"/>
        <v>0.0511</v>
      </c>
      <c r="V47" s="4">
        <f t="shared" si="55"/>
        <v>0.0001</v>
      </c>
      <c r="W47" s="4">
        <f t="shared" si="55"/>
        <v>0.0825</v>
      </c>
      <c r="X47" s="4">
        <f t="shared" si="55"/>
        <v>0.1766</v>
      </c>
    </row>
    <row r="48" spans="12:24">
      <c r="L48" s="4"/>
      <c r="M48" s="4"/>
      <c r="N48" s="4"/>
      <c r="O48" s="4">
        <f t="shared" ref="O48:X48" si="56">ROUND(O23,4)+0.0001</f>
        <v>0.5111</v>
      </c>
      <c r="P48" s="4">
        <f t="shared" si="56"/>
        <v>0.7602</v>
      </c>
      <c r="Q48" s="4">
        <f t="shared" si="56"/>
        <v>0.9845</v>
      </c>
      <c r="R48" s="4">
        <f t="shared" si="56"/>
        <v>1.0001</v>
      </c>
      <c r="S48" s="4">
        <f t="shared" si="56"/>
        <v>0.7329</v>
      </c>
      <c r="T48" s="4">
        <f t="shared" si="56"/>
        <v>0.0001</v>
      </c>
      <c r="U48" s="4">
        <f t="shared" si="56"/>
        <v>0.5864</v>
      </c>
      <c r="V48" s="4">
        <f t="shared" si="56"/>
        <v>0.755</v>
      </c>
      <c r="W48" s="4">
        <f t="shared" si="56"/>
        <v>0.9249</v>
      </c>
      <c r="X48" s="4">
        <f t="shared" si="56"/>
        <v>0.6992</v>
      </c>
    </row>
    <row r="49" spans="12:24">
      <c r="L49" s="4"/>
      <c r="M49" s="4"/>
      <c r="N49" s="4"/>
      <c r="O49" s="4">
        <f t="shared" ref="O49:X49" si="57">ROUND(O24,4)+0.0001</f>
        <v>0.2701</v>
      </c>
      <c r="P49" s="4">
        <f t="shared" si="57"/>
        <v>0.4724</v>
      </c>
      <c r="Q49" s="4">
        <f t="shared" si="57"/>
        <v>0.076</v>
      </c>
      <c r="R49" s="4">
        <f t="shared" si="57"/>
        <v>0.4813</v>
      </c>
      <c r="S49" s="4">
        <f t="shared" si="57"/>
        <v>0.7839</v>
      </c>
      <c r="T49" s="4">
        <f t="shared" si="57"/>
        <v>0.0001</v>
      </c>
      <c r="U49" s="4">
        <f t="shared" si="57"/>
        <v>0.4658</v>
      </c>
      <c r="V49" s="4">
        <f t="shared" si="57"/>
        <v>0.7791</v>
      </c>
      <c r="W49" s="4">
        <f t="shared" si="57"/>
        <v>0.7122</v>
      </c>
      <c r="X49" s="4">
        <f t="shared" si="57"/>
        <v>1.0001</v>
      </c>
    </row>
  </sheetData>
  <pageMargins left="0.75" right="0.75" top="1" bottom="1" header="0.5" footer="0.5"/>
  <headerFooter/>
  <ignoredErrors>
    <ignoredError sqref="A1:X14 A15 L15:X15 A16:X22 A23:A2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9"/>
  <sheetViews>
    <sheetView workbookViewId="0">
      <selection activeCell="N1" sqref="N1"/>
    </sheetView>
  </sheetViews>
  <sheetFormatPr defaultColWidth="9" defaultRowHeight="13.5"/>
  <cols>
    <col min="1" max="1" width="31.6283185840708" customWidth="1"/>
  </cols>
  <sheetData>
    <row r="1" spans="1:24">
      <c r="A1" s="218" t="s">
        <v>0</v>
      </c>
      <c r="B1" s="218">
        <v>2014</v>
      </c>
      <c r="C1" s="218">
        <v>2015</v>
      </c>
      <c r="D1" s="218">
        <v>2016</v>
      </c>
      <c r="E1" s="218">
        <v>2017</v>
      </c>
      <c r="F1" s="218">
        <v>2018</v>
      </c>
      <c r="G1" s="218">
        <v>2019</v>
      </c>
      <c r="H1" s="218">
        <v>2020</v>
      </c>
      <c r="I1" s="218">
        <v>2021</v>
      </c>
      <c r="J1" s="4">
        <v>2022</v>
      </c>
      <c r="K1" s="4">
        <v>2023</v>
      </c>
      <c r="L1" s="4" t="s">
        <v>2</v>
      </c>
      <c r="M1" s="219" t="s">
        <v>3</v>
      </c>
      <c r="N1" s="4" t="s">
        <v>4</v>
      </c>
      <c r="O1" s="4">
        <v>2014</v>
      </c>
      <c r="P1" s="4">
        <v>2015</v>
      </c>
      <c r="Q1" s="4">
        <v>2016</v>
      </c>
      <c r="R1" s="4">
        <v>2017</v>
      </c>
      <c r="S1" s="4">
        <v>2018</v>
      </c>
      <c r="T1" s="4">
        <v>2019</v>
      </c>
      <c r="U1" s="4">
        <v>2020</v>
      </c>
      <c r="V1" s="4">
        <v>2021</v>
      </c>
      <c r="W1" s="4">
        <v>2022</v>
      </c>
      <c r="X1" s="4">
        <v>2023</v>
      </c>
    </row>
    <row r="2" ht="15.75" spans="1:24">
      <c r="A2" s="220" t="s">
        <v>5</v>
      </c>
      <c r="B2" s="4">
        <v>1200.02</v>
      </c>
      <c r="C2" s="4">
        <v>1250.44</v>
      </c>
      <c r="D2">
        <v>1349.35</v>
      </c>
      <c r="E2">
        <v>1014.69</v>
      </c>
      <c r="F2" s="4">
        <v>1635.56</v>
      </c>
      <c r="G2" s="4">
        <v>1612</v>
      </c>
      <c r="H2" s="4">
        <v>1686</v>
      </c>
      <c r="I2" s="4">
        <v>1844</v>
      </c>
      <c r="J2" s="4">
        <v>1910</v>
      </c>
      <c r="K2" s="40">
        <v>2001</v>
      </c>
      <c r="L2" s="4">
        <f t="shared" ref="L2:L11" si="0">MAX(B2:K2)</f>
        <v>2001</v>
      </c>
      <c r="M2" s="4">
        <f t="shared" ref="M2:M11" si="1">MIN(B2:K2)</f>
        <v>1014.69</v>
      </c>
      <c r="N2" s="4">
        <f t="shared" ref="N2:N11" si="2">L2-M2</f>
        <v>986.31</v>
      </c>
      <c r="O2" s="4">
        <f t="shared" ref="O2:O11" si="3">(B2-M2)/N2</f>
        <v>0.187902383631921</v>
      </c>
      <c r="P2" s="4">
        <f t="shared" ref="P2:P11" si="4">(C2-M2)/N2</f>
        <v>0.239022214111182</v>
      </c>
      <c r="Q2" s="4">
        <f t="shared" ref="Q2:Q11" si="5">(D2-M2)/N2</f>
        <v>0.339305086636047</v>
      </c>
      <c r="R2" s="4">
        <f t="shared" ref="R2:R11" si="6">(E2-M2)/N2</f>
        <v>0</v>
      </c>
      <c r="S2" s="4">
        <f t="shared" ref="S2:S11" si="7">(F2-M2)/N2</f>
        <v>0.629487686427188</v>
      </c>
      <c r="T2" s="4">
        <f t="shared" ref="T2:T11" si="8">(G2-M2)/N2</f>
        <v>0.605600673216332</v>
      </c>
      <c r="U2" s="4">
        <f t="shared" ref="U2:U11" si="9">(H2-M2)/N2</f>
        <v>0.680627794506798</v>
      </c>
      <c r="V2" s="4">
        <f t="shared" ref="V2:V11" si="10">(I2-M2)/N2</f>
        <v>0.840820837262118</v>
      </c>
      <c r="W2" s="4">
        <f t="shared" ref="W2:W11" si="11">(J2-M2)/N2</f>
        <v>0.907736918413075</v>
      </c>
      <c r="X2" s="4">
        <f t="shared" ref="X2:X11" si="12">(K2-M2)/N2</f>
        <v>1</v>
      </c>
    </row>
    <row r="3" ht="15.75" spans="1:24">
      <c r="A3" s="220" t="s">
        <v>7</v>
      </c>
      <c r="B3" s="4">
        <v>306</v>
      </c>
      <c r="C3" s="171">
        <v>306</v>
      </c>
      <c r="D3">
        <v>308</v>
      </c>
      <c r="E3">
        <v>309</v>
      </c>
      <c r="F3" s="4">
        <v>311</v>
      </c>
      <c r="G3" s="4">
        <v>314</v>
      </c>
      <c r="H3" s="4">
        <v>313</v>
      </c>
      <c r="I3" s="4">
        <v>313</v>
      </c>
      <c r="J3" s="4">
        <v>309</v>
      </c>
      <c r="K3" s="4">
        <v>310</v>
      </c>
      <c r="L3" s="4">
        <f t="shared" si="0"/>
        <v>314</v>
      </c>
      <c r="M3" s="4">
        <f t="shared" si="1"/>
        <v>306</v>
      </c>
      <c r="N3" s="4">
        <f t="shared" si="2"/>
        <v>8</v>
      </c>
      <c r="O3" s="4">
        <f t="shared" si="3"/>
        <v>0</v>
      </c>
      <c r="P3" s="4">
        <f t="shared" si="4"/>
        <v>0</v>
      </c>
      <c r="Q3" s="4">
        <f t="shared" si="5"/>
        <v>0.25</v>
      </c>
      <c r="R3" s="4">
        <f t="shared" si="6"/>
        <v>0.375</v>
      </c>
      <c r="S3" s="4">
        <f t="shared" si="7"/>
        <v>0.625</v>
      </c>
      <c r="T3" s="4">
        <f t="shared" si="8"/>
        <v>1</v>
      </c>
      <c r="U3" s="4">
        <f t="shared" si="9"/>
        <v>0.875</v>
      </c>
      <c r="V3" s="4">
        <f t="shared" si="10"/>
        <v>0.875</v>
      </c>
      <c r="W3" s="4">
        <f t="shared" si="11"/>
        <v>0.375</v>
      </c>
      <c r="X3" s="4">
        <f t="shared" si="12"/>
        <v>0.5</v>
      </c>
    </row>
    <row r="4" ht="15.75" spans="1:24">
      <c r="A4" s="220" t="s">
        <v>8</v>
      </c>
      <c r="B4" s="4">
        <v>364.7</v>
      </c>
      <c r="C4" s="4">
        <v>366.55</v>
      </c>
      <c r="D4">
        <v>369.55</v>
      </c>
      <c r="E4">
        <v>368.35</v>
      </c>
      <c r="F4" s="4">
        <v>370.87</v>
      </c>
      <c r="G4" s="4">
        <v>369.83</v>
      </c>
      <c r="H4" s="4">
        <v>368.55</v>
      </c>
      <c r="I4" s="4">
        <v>353.24</v>
      </c>
      <c r="J4" s="4">
        <v>373.32</v>
      </c>
      <c r="K4" s="4">
        <v>372.12</v>
      </c>
      <c r="L4" s="4">
        <f t="shared" si="0"/>
        <v>373.32</v>
      </c>
      <c r="M4" s="4">
        <f t="shared" si="1"/>
        <v>353.24</v>
      </c>
      <c r="N4" s="4">
        <f t="shared" si="2"/>
        <v>20.08</v>
      </c>
      <c r="O4" s="4">
        <f>(L4-B4)/N4</f>
        <v>0.429282868525897</v>
      </c>
      <c r="P4" s="4">
        <f>(L4-C4)/N4</f>
        <v>0.33715139442231</v>
      </c>
      <c r="Q4" s="4">
        <f>(L4-D4)/N4</f>
        <v>0.187749003984063</v>
      </c>
      <c r="R4" s="4">
        <f>(L4-E4)/N4</f>
        <v>0.247509960159361</v>
      </c>
      <c r="S4" s="4">
        <f>(L4-F4)/N4</f>
        <v>0.122011952191235</v>
      </c>
      <c r="T4" s="4">
        <f>(L4-G4)/N4</f>
        <v>0.173804780876495</v>
      </c>
      <c r="U4" s="4">
        <f>(L4-H4)/N4</f>
        <v>0.237549800796812</v>
      </c>
      <c r="V4" s="4">
        <f>(L4-I4)/N4</f>
        <v>1</v>
      </c>
      <c r="W4" s="4">
        <f>(L4-J4)/N4</f>
        <v>0</v>
      </c>
      <c r="X4" s="4">
        <f>(L4-K4)/N4</f>
        <v>0.0597609561752983</v>
      </c>
    </row>
    <row r="5" ht="15.75" spans="1:24">
      <c r="A5" s="220" t="s">
        <v>10</v>
      </c>
      <c r="B5" s="4">
        <v>0.15</v>
      </c>
      <c r="C5" s="4">
        <v>0.16</v>
      </c>
      <c r="D5">
        <v>0.17</v>
      </c>
      <c r="E5">
        <v>0.13</v>
      </c>
      <c r="F5" s="4">
        <v>0.21</v>
      </c>
      <c r="G5" s="4">
        <v>0.21</v>
      </c>
      <c r="H5" s="4">
        <v>0.22</v>
      </c>
      <c r="I5" s="4">
        <v>0.24</v>
      </c>
      <c r="J5" s="4">
        <v>0.24</v>
      </c>
      <c r="K5" s="4">
        <v>0.26</v>
      </c>
      <c r="L5" s="4">
        <f t="shared" si="0"/>
        <v>0.26</v>
      </c>
      <c r="M5" s="4">
        <f t="shared" si="1"/>
        <v>0.13</v>
      </c>
      <c r="N5" s="4">
        <f t="shared" si="2"/>
        <v>0.13</v>
      </c>
      <c r="O5" s="4">
        <f t="shared" si="3"/>
        <v>0.153846153846154</v>
      </c>
      <c r="P5" s="4">
        <f t="shared" si="4"/>
        <v>0.230769230769231</v>
      </c>
      <c r="Q5" s="4">
        <f t="shared" si="5"/>
        <v>0.307692307692308</v>
      </c>
      <c r="R5" s="4">
        <f t="shared" si="6"/>
        <v>0</v>
      </c>
      <c r="S5" s="4">
        <f t="shared" si="7"/>
        <v>0.615384615384615</v>
      </c>
      <c r="T5" s="4">
        <f t="shared" si="8"/>
        <v>0.615384615384615</v>
      </c>
      <c r="U5" s="4">
        <f t="shared" si="9"/>
        <v>0.692307692307692</v>
      </c>
      <c r="V5" s="4">
        <f t="shared" si="10"/>
        <v>0.846153846153846</v>
      </c>
      <c r="W5" s="4">
        <f t="shared" si="11"/>
        <v>0.846153846153846</v>
      </c>
      <c r="X5" s="4">
        <f t="shared" si="12"/>
        <v>1</v>
      </c>
    </row>
    <row r="6" ht="15.75" spans="1:24">
      <c r="A6" s="220" t="s">
        <v>11</v>
      </c>
      <c r="B6" s="4">
        <v>3714.33</v>
      </c>
      <c r="C6" s="4">
        <v>3737.32</v>
      </c>
      <c r="D6">
        <v>3766.51</v>
      </c>
      <c r="E6">
        <v>3836.65</v>
      </c>
      <c r="F6" s="4">
        <v>4290.48</v>
      </c>
      <c r="G6" s="4">
        <v>4590.32</v>
      </c>
      <c r="H6" s="4">
        <v>5063.53</v>
      </c>
      <c r="I6" s="4">
        <v>4853.22</v>
      </c>
      <c r="J6" s="4">
        <v>5562.61</v>
      </c>
      <c r="K6" s="4">
        <v>5565.53</v>
      </c>
      <c r="L6" s="4">
        <f t="shared" si="0"/>
        <v>5565.53</v>
      </c>
      <c r="M6" s="4">
        <f t="shared" si="1"/>
        <v>3714.33</v>
      </c>
      <c r="N6" s="4">
        <f t="shared" si="2"/>
        <v>1851.2</v>
      </c>
      <c r="O6" s="4">
        <f t="shared" si="3"/>
        <v>0</v>
      </c>
      <c r="P6" s="4">
        <f t="shared" si="4"/>
        <v>0.0124189714779604</v>
      </c>
      <c r="Q6" s="4">
        <f t="shared" si="5"/>
        <v>0.0281871218668973</v>
      </c>
      <c r="R6" s="4">
        <f t="shared" si="6"/>
        <v>0.0660760587726881</v>
      </c>
      <c r="S6" s="4">
        <f t="shared" si="7"/>
        <v>0.31123055315471</v>
      </c>
      <c r="T6" s="4">
        <f t="shared" si="8"/>
        <v>0.473201166810717</v>
      </c>
      <c r="U6" s="4">
        <f t="shared" si="9"/>
        <v>0.728824546240277</v>
      </c>
      <c r="V6" s="4">
        <f t="shared" si="10"/>
        <v>0.615217156439067</v>
      </c>
      <c r="W6" s="4">
        <f t="shared" si="11"/>
        <v>0.998422644770959</v>
      </c>
      <c r="X6" s="4">
        <f t="shared" si="12"/>
        <v>1</v>
      </c>
    </row>
    <row r="7" ht="15.75" spans="1:24">
      <c r="A7" s="220" t="s">
        <v>12</v>
      </c>
      <c r="B7" s="4">
        <v>791.65</v>
      </c>
      <c r="C7" s="4">
        <v>874.33</v>
      </c>
      <c r="D7">
        <v>874.66</v>
      </c>
      <c r="E7">
        <v>873.39</v>
      </c>
      <c r="F7" s="4">
        <v>916.18</v>
      </c>
      <c r="G7" s="4">
        <v>981.23</v>
      </c>
      <c r="H7" s="4">
        <v>1025.38</v>
      </c>
      <c r="I7" s="4">
        <v>1078.7</v>
      </c>
      <c r="J7" s="4">
        <v>1166.05</v>
      </c>
      <c r="K7" s="4">
        <v>1212.69</v>
      </c>
      <c r="L7" s="4">
        <f t="shared" si="0"/>
        <v>1212.69</v>
      </c>
      <c r="M7" s="4">
        <f t="shared" si="1"/>
        <v>791.65</v>
      </c>
      <c r="N7" s="4">
        <f t="shared" si="2"/>
        <v>421.04</v>
      </c>
      <c r="O7" s="4">
        <f t="shared" si="3"/>
        <v>0</v>
      </c>
      <c r="P7" s="4">
        <f t="shared" si="4"/>
        <v>0.196370891126734</v>
      </c>
      <c r="Q7" s="4">
        <f t="shared" si="5"/>
        <v>0.197154664639939</v>
      </c>
      <c r="R7" s="4">
        <f t="shared" si="6"/>
        <v>0.194138324149724</v>
      </c>
      <c r="S7" s="4">
        <f t="shared" si="7"/>
        <v>0.295767623028691</v>
      </c>
      <c r="T7" s="4">
        <f t="shared" si="8"/>
        <v>0.450266007980239</v>
      </c>
      <c r="U7" s="4">
        <f t="shared" si="9"/>
        <v>0.555125403762113</v>
      </c>
      <c r="V7" s="4">
        <f t="shared" si="10"/>
        <v>0.681764202926088</v>
      </c>
      <c r="W7" s="4">
        <f t="shared" si="11"/>
        <v>0.889226676800304</v>
      </c>
      <c r="X7" s="4">
        <f t="shared" si="12"/>
        <v>1</v>
      </c>
    </row>
    <row r="8" ht="15.75" spans="1:24">
      <c r="A8" s="220" t="s">
        <v>13</v>
      </c>
      <c r="B8" s="4">
        <v>18874.8</v>
      </c>
      <c r="C8" s="4">
        <v>20713.04</v>
      </c>
      <c r="D8">
        <v>22720.93</v>
      </c>
      <c r="E8">
        <v>25086.68</v>
      </c>
      <c r="F8" s="4">
        <v>26708.71</v>
      </c>
      <c r="G8" s="4">
        <v>18638.73</v>
      </c>
      <c r="H8" s="4">
        <v>18032.08</v>
      </c>
      <c r="I8" s="4">
        <v>17283.14</v>
      </c>
      <c r="J8" s="4">
        <v>19328.4</v>
      </c>
      <c r="K8" s="4">
        <v>21520.18</v>
      </c>
      <c r="L8" s="4">
        <f t="shared" si="0"/>
        <v>26708.71</v>
      </c>
      <c r="M8" s="4">
        <f t="shared" si="1"/>
        <v>17283.14</v>
      </c>
      <c r="N8" s="4">
        <f t="shared" si="2"/>
        <v>9425.57</v>
      </c>
      <c r="O8" s="4">
        <f t="shared" si="3"/>
        <v>0.168866179976383</v>
      </c>
      <c r="P8" s="4">
        <f t="shared" si="4"/>
        <v>0.363893112034604</v>
      </c>
      <c r="Q8" s="4">
        <f t="shared" si="5"/>
        <v>0.576918955564491</v>
      </c>
      <c r="R8" s="4">
        <f t="shared" si="6"/>
        <v>0.827911733720083</v>
      </c>
      <c r="S8" s="4">
        <f t="shared" si="7"/>
        <v>1</v>
      </c>
      <c r="T8" s="4">
        <f t="shared" si="8"/>
        <v>0.14382047982244</v>
      </c>
      <c r="U8" s="4">
        <f t="shared" si="9"/>
        <v>0.0794583245363413</v>
      </c>
      <c r="V8" s="4">
        <f t="shared" si="10"/>
        <v>0</v>
      </c>
      <c r="W8" s="4">
        <f t="shared" si="11"/>
        <v>0.216990590489488</v>
      </c>
      <c r="X8" s="4">
        <f t="shared" si="12"/>
        <v>0.44952612945424</v>
      </c>
    </row>
    <row r="9" ht="15.75" spans="1:24">
      <c r="A9" s="220" t="s">
        <v>14</v>
      </c>
      <c r="B9" s="4">
        <v>85.45</v>
      </c>
      <c r="C9" s="4">
        <v>85.79</v>
      </c>
      <c r="D9">
        <v>85.48</v>
      </c>
      <c r="E9">
        <v>93.71</v>
      </c>
      <c r="F9" s="4">
        <v>87.57</v>
      </c>
      <c r="G9" s="4">
        <v>87.2</v>
      </c>
      <c r="H9" s="4">
        <v>86.18</v>
      </c>
      <c r="I9" s="4">
        <v>86.98</v>
      </c>
      <c r="J9" s="4">
        <v>86.79</v>
      </c>
      <c r="K9" s="4">
        <v>87.01</v>
      </c>
      <c r="L9" s="4">
        <f t="shared" si="0"/>
        <v>93.71</v>
      </c>
      <c r="M9" s="4">
        <f t="shared" si="1"/>
        <v>85.45</v>
      </c>
      <c r="N9" s="4">
        <f t="shared" si="2"/>
        <v>8.25999999999999</v>
      </c>
      <c r="O9" s="4">
        <f t="shared" si="3"/>
        <v>0</v>
      </c>
      <c r="P9" s="4">
        <f t="shared" si="4"/>
        <v>0.041162227602906</v>
      </c>
      <c r="Q9" s="4">
        <f t="shared" si="5"/>
        <v>0.00363196125908004</v>
      </c>
      <c r="R9" s="4">
        <f t="shared" si="6"/>
        <v>1</v>
      </c>
      <c r="S9" s="4">
        <f t="shared" si="7"/>
        <v>0.256658595641646</v>
      </c>
      <c r="T9" s="4">
        <f t="shared" si="8"/>
        <v>0.211864406779661</v>
      </c>
      <c r="U9" s="4">
        <f t="shared" si="9"/>
        <v>0.0883777239709449</v>
      </c>
      <c r="V9" s="4">
        <f t="shared" si="10"/>
        <v>0.185230024213075</v>
      </c>
      <c r="W9" s="4">
        <f t="shared" si="11"/>
        <v>0.16222760290557</v>
      </c>
      <c r="X9" s="4">
        <f t="shared" si="12"/>
        <v>0.188861985472155</v>
      </c>
    </row>
    <row r="10" ht="15.75" spans="1:24">
      <c r="A10" s="220" t="s">
        <v>15</v>
      </c>
      <c r="B10" s="4">
        <v>41.56</v>
      </c>
      <c r="C10" s="4">
        <v>41.63</v>
      </c>
      <c r="D10">
        <v>41.53</v>
      </c>
      <c r="E10">
        <v>41.25</v>
      </c>
      <c r="F10" s="4">
        <v>41.2</v>
      </c>
      <c r="G10" s="4">
        <v>41.3</v>
      </c>
      <c r="H10" s="4">
        <v>41.28</v>
      </c>
      <c r="I10" s="4">
        <v>41.18</v>
      </c>
      <c r="J10" s="4">
        <v>40.3</v>
      </c>
      <c r="K10" s="4">
        <v>40.12</v>
      </c>
      <c r="L10" s="4">
        <f t="shared" si="0"/>
        <v>41.63</v>
      </c>
      <c r="M10" s="4">
        <f t="shared" si="1"/>
        <v>40.12</v>
      </c>
      <c r="N10" s="4">
        <f t="shared" si="2"/>
        <v>1.51000000000001</v>
      </c>
      <c r="O10" s="4">
        <f t="shared" si="3"/>
        <v>0.95364238410596</v>
      </c>
      <c r="P10" s="4">
        <f t="shared" si="4"/>
        <v>1</v>
      </c>
      <c r="Q10" s="4">
        <f t="shared" si="5"/>
        <v>0.933774834437085</v>
      </c>
      <c r="R10" s="4">
        <f t="shared" si="6"/>
        <v>0.748344370860926</v>
      </c>
      <c r="S10" s="4">
        <f t="shared" si="7"/>
        <v>0.715231788079471</v>
      </c>
      <c r="T10" s="4">
        <f t="shared" si="8"/>
        <v>0.781456953642381</v>
      </c>
      <c r="U10" s="4">
        <f t="shared" si="9"/>
        <v>0.768211920529801</v>
      </c>
      <c r="V10" s="4">
        <f t="shared" si="10"/>
        <v>0.701986754966887</v>
      </c>
      <c r="W10" s="4">
        <f t="shared" si="11"/>
        <v>0.119205298013244</v>
      </c>
      <c r="X10" s="4">
        <f t="shared" si="12"/>
        <v>0</v>
      </c>
    </row>
    <row r="11" ht="15.75" spans="1:24">
      <c r="A11" s="220" t="s">
        <v>16</v>
      </c>
      <c r="B11" s="4">
        <v>12.4</v>
      </c>
      <c r="C11" s="4">
        <v>12.59</v>
      </c>
      <c r="D11">
        <v>12.76</v>
      </c>
      <c r="E11">
        <v>12.93</v>
      </c>
      <c r="F11" s="4">
        <v>13.13</v>
      </c>
      <c r="G11" s="4">
        <v>13.28</v>
      </c>
      <c r="H11" s="4">
        <v>13.42</v>
      </c>
      <c r="I11" s="4">
        <v>13.5</v>
      </c>
      <c r="J11" s="4">
        <v>13.75</v>
      </c>
      <c r="K11" s="4">
        <v>13.82</v>
      </c>
      <c r="L11" s="4">
        <f t="shared" si="0"/>
        <v>13.82</v>
      </c>
      <c r="M11" s="4">
        <f t="shared" si="1"/>
        <v>12.4</v>
      </c>
      <c r="N11" s="4">
        <f t="shared" si="2"/>
        <v>1.42</v>
      </c>
      <c r="O11" s="4">
        <f t="shared" si="3"/>
        <v>0</v>
      </c>
      <c r="P11" s="4">
        <f t="shared" si="4"/>
        <v>0.133802816901408</v>
      </c>
      <c r="Q11" s="4">
        <f t="shared" si="5"/>
        <v>0.253521126760563</v>
      </c>
      <c r="R11" s="4">
        <f t="shared" si="6"/>
        <v>0.373239436619718</v>
      </c>
      <c r="S11" s="4">
        <f t="shared" si="7"/>
        <v>0.514084507042254</v>
      </c>
      <c r="T11" s="4">
        <f t="shared" si="8"/>
        <v>0.619718309859154</v>
      </c>
      <c r="U11" s="4">
        <f t="shared" si="9"/>
        <v>0.718309859154929</v>
      </c>
      <c r="V11" s="4">
        <f t="shared" si="10"/>
        <v>0.774647887323943</v>
      </c>
      <c r="W11" s="4">
        <f t="shared" si="11"/>
        <v>0.950704225352113</v>
      </c>
      <c r="X11" s="4">
        <f t="shared" si="12"/>
        <v>1</v>
      </c>
    </row>
    <row r="12" spans="1:24">
      <c r="A12" s="218"/>
      <c r="B12" s="4"/>
      <c r="C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A13" s="218" t="s">
        <v>17</v>
      </c>
      <c r="B13" s="4">
        <v>6.08</v>
      </c>
      <c r="C13" s="4">
        <v>5.93</v>
      </c>
      <c r="D13">
        <v>5.89</v>
      </c>
      <c r="E13">
        <v>5.83</v>
      </c>
      <c r="F13" s="4">
        <v>5.82</v>
      </c>
      <c r="G13" s="4">
        <v>5.76</v>
      </c>
      <c r="H13" s="4">
        <v>5.83</v>
      </c>
      <c r="I13" s="4">
        <v>5.83</v>
      </c>
      <c r="J13" s="4">
        <v>5.99</v>
      </c>
      <c r="K13" s="4">
        <v>5.9</v>
      </c>
      <c r="L13" s="4">
        <f t="shared" ref="L13:L24" si="13">MAX(B13:K13)</f>
        <v>6.08</v>
      </c>
      <c r="M13" s="4">
        <f t="shared" ref="M13:M24" si="14">MIN(B13:K13)</f>
        <v>5.76</v>
      </c>
      <c r="N13" s="4">
        <f t="shared" ref="N13:N24" si="15">L13-M13</f>
        <v>0.32</v>
      </c>
      <c r="O13" s="4">
        <f t="shared" ref="O13:O18" si="16">(B13-M13)/N13</f>
        <v>1</v>
      </c>
      <c r="P13" s="4">
        <f t="shared" ref="P13:P18" si="17">(C13-M13)/N13</f>
        <v>0.531249999999999</v>
      </c>
      <c r="Q13" s="4">
        <f t="shared" ref="Q13:Q18" si="18">(D13-M13)/N13</f>
        <v>0.406249999999999</v>
      </c>
      <c r="R13" s="4">
        <f t="shared" ref="R13:R18" si="19">(E13-M13)/N13</f>
        <v>0.218750000000001</v>
      </c>
      <c r="S13" s="4">
        <f t="shared" ref="S13:S18" si="20">(F13-M13)/N13</f>
        <v>0.187500000000001</v>
      </c>
      <c r="T13" s="4">
        <f t="shared" ref="T13:T18" si="21">(G13-M13)/N13</f>
        <v>0</v>
      </c>
      <c r="U13" s="4">
        <f t="shared" ref="U13:U18" si="22">(H13-M13)/N13</f>
        <v>0.218750000000001</v>
      </c>
      <c r="V13" s="4">
        <f t="shared" ref="V13:V18" si="23">(I13-M13)/N13</f>
        <v>0.218750000000001</v>
      </c>
      <c r="W13" s="4">
        <f t="shared" ref="W13:W18" si="24">(J13-M13)/N13</f>
        <v>0.718750000000001</v>
      </c>
      <c r="X13" s="4">
        <f t="shared" ref="X13:X18" si="25">(K13-M13)/N13</f>
        <v>0.437500000000001</v>
      </c>
    </row>
    <row r="14" ht="15.75" spans="1:24">
      <c r="A14" s="220" t="s">
        <v>18</v>
      </c>
      <c r="B14" s="4">
        <v>38.87</v>
      </c>
      <c r="C14" s="4">
        <v>38.75</v>
      </c>
      <c r="D14">
        <v>38.71</v>
      </c>
      <c r="E14">
        <v>38.83</v>
      </c>
      <c r="F14" s="4">
        <v>38.72</v>
      </c>
      <c r="G14" s="4">
        <v>38.54</v>
      </c>
      <c r="H14" s="4">
        <v>38.37</v>
      </c>
      <c r="I14" s="4">
        <v>38.39</v>
      </c>
      <c r="J14" s="4">
        <v>38.88</v>
      </c>
      <c r="K14" s="4">
        <v>39.09</v>
      </c>
      <c r="L14" s="4">
        <f t="shared" si="13"/>
        <v>39.09</v>
      </c>
      <c r="M14" s="4">
        <f t="shared" si="14"/>
        <v>38.37</v>
      </c>
      <c r="N14" s="4">
        <f t="shared" si="15"/>
        <v>0.720000000000006</v>
      </c>
      <c r="O14" s="4">
        <f t="shared" si="16"/>
        <v>0.694444444444439</v>
      </c>
      <c r="P14" s="4">
        <f t="shared" si="17"/>
        <v>0.527777777777777</v>
      </c>
      <c r="Q14" s="4">
        <f t="shared" si="18"/>
        <v>0.472222222222223</v>
      </c>
      <c r="R14" s="4">
        <f t="shared" si="19"/>
        <v>0.638888888888885</v>
      </c>
      <c r="S14" s="4">
        <f t="shared" si="20"/>
        <v>0.486111111111109</v>
      </c>
      <c r="T14" s="4">
        <f t="shared" si="21"/>
        <v>0.236111111111112</v>
      </c>
      <c r="U14" s="4">
        <f t="shared" si="22"/>
        <v>0</v>
      </c>
      <c r="V14" s="4">
        <f t="shared" si="23"/>
        <v>0.0277777777777819</v>
      </c>
      <c r="W14" s="4">
        <f t="shared" si="24"/>
        <v>0.708333333333335</v>
      </c>
      <c r="X14" s="4">
        <f t="shared" si="25"/>
        <v>1</v>
      </c>
    </row>
    <row r="15" spans="1:24">
      <c r="A15" s="218" t="s">
        <v>19</v>
      </c>
      <c r="B15" s="41">
        <v>0.0338</v>
      </c>
      <c r="C15" s="41">
        <v>0.0353</v>
      </c>
      <c r="D15" s="41">
        <v>0.0344</v>
      </c>
      <c r="E15" s="41">
        <v>0.0329</v>
      </c>
      <c r="F15" s="41">
        <v>0.0301</v>
      </c>
      <c r="G15" s="41">
        <v>0.0269</v>
      </c>
      <c r="H15" s="41">
        <v>0.0228</v>
      </c>
      <c r="I15" s="41">
        <v>0.0212</v>
      </c>
      <c r="J15" s="41">
        <v>0.016</v>
      </c>
      <c r="K15" s="41">
        <v>0.0144</v>
      </c>
      <c r="L15" s="4">
        <f t="shared" si="13"/>
        <v>0.0353</v>
      </c>
      <c r="M15" s="4">
        <f t="shared" si="14"/>
        <v>0.0144</v>
      </c>
      <c r="N15" s="4">
        <f t="shared" si="15"/>
        <v>0.0209</v>
      </c>
      <c r="O15" s="4">
        <f t="shared" si="16"/>
        <v>0.92822966507177</v>
      </c>
      <c r="P15" s="4">
        <f t="shared" si="17"/>
        <v>1</v>
      </c>
      <c r="Q15" s="4">
        <f t="shared" si="18"/>
        <v>0.956937799043062</v>
      </c>
      <c r="R15" s="4">
        <f t="shared" si="19"/>
        <v>0.885167464114833</v>
      </c>
      <c r="S15" s="4">
        <f t="shared" si="20"/>
        <v>0.751196172248804</v>
      </c>
      <c r="T15" s="4">
        <f t="shared" si="21"/>
        <v>0.598086124401914</v>
      </c>
      <c r="U15" s="4">
        <f t="shared" si="22"/>
        <v>0.401913875598086</v>
      </c>
      <c r="V15" s="4">
        <f t="shared" si="23"/>
        <v>0.325358851674641</v>
      </c>
      <c r="W15" s="4">
        <f t="shared" si="24"/>
        <v>0.076555023923445</v>
      </c>
      <c r="X15" s="4">
        <f t="shared" si="25"/>
        <v>0</v>
      </c>
    </row>
    <row r="16" spans="1:24">
      <c r="A16" s="218" t="s">
        <v>20</v>
      </c>
      <c r="B16" s="42">
        <v>46.5</v>
      </c>
      <c r="C16" s="4">
        <v>40.17</v>
      </c>
      <c r="D16">
        <v>40.37</v>
      </c>
      <c r="E16">
        <v>40.24</v>
      </c>
      <c r="F16" s="4">
        <v>41.29</v>
      </c>
      <c r="G16" s="4">
        <v>41.71</v>
      </c>
      <c r="H16" s="4">
        <v>41.2</v>
      </c>
      <c r="I16" s="4">
        <v>41.2</v>
      </c>
      <c r="J16" s="4">
        <v>40.75</v>
      </c>
      <c r="K16" s="4">
        <v>41.38</v>
      </c>
      <c r="L16" s="4">
        <f t="shared" si="13"/>
        <v>46.5</v>
      </c>
      <c r="M16" s="4">
        <f t="shared" si="14"/>
        <v>40.17</v>
      </c>
      <c r="N16" s="4">
        <f t="shared" si="15"/>
        <v>6.33</v>
      </c>
      <c r="O16" s="4">
        <f t="shared" si="16"/>
        <v>1</v>
      </c>
      <c r="P16" s="4">
        <f t="shared" si="17"/>
        <v>0</v>
      </c>
      <c r="Q16" s="4">
        <f t="shared" si="18"/>
        <v>0.0315955766192726</v>
      </c>
      <c r="R16" s="4">
        <f t="shared" si="19"/>
        <v>0.0110584518167457</v>
      </c>
      <c r="S16" s="4">
        <f t="shared" si="20"/>
        <v>0.17693522906793</v>
      </c>
      <c r="T16" s="4">
        <f t="shared" si="21"/>
        <v>0.243285939968404</v>
      </c>
      <c r="U16" s="4">
        <f t="shared" si="22"/>
        <v>0.162717219589258</v>
      </c>
      <c r="V16" s="4">
        <f t="shared" si="23"/>
        <v>0.162717219589258</v>
      </c>
      <c r="W16" s="4">
        <f t="shared" si="24"/>
        <v>0.0916271721958923</v>
      </c>
      <c r="X16" s="4">
        <f t="shared" si="25"/>
        <v>0.191153238546604</v>
      </c>
    </row>
    <row r="17" spans="1:24">
      <c r="A17" s="218" t="s">
        <v>21</v>
      </c>
      <c r="B17" s="4">
        <v>6.6</v>
      </c>
      <c r="C17" s="4">
        <v>6.97</v>
      </c>
      <c r="D17">
        <v>6.94</v>
      </c>
      <c r="E17">
        <v>7.3</v>
      </c>
      <c r="F17" s="4">
        <v>7.7</v>
      </c>
      <c r="G17">
        <v>7.65</v>
      </c>
      <c r="H17" s="4">
        <v>7.69</v>
      </c>
      <c r="I17" s="4">
        <v>7.37</v>
      </c>
      <c r="J17" s="4">
        <v>7.75</v>
      </c>
      <c r="K17" s="4">
        <v>7.8</v>
      </c>
      <c r="L17" s="4">
        <f t="shared" si="13"/>
        <v>7.8</v>
      </c>
      <c r="M17" s="4">
        <f t="shared" si="14"/>
        <v>6.6</v>
      </c>
      <c r="N17" s="4">
        <f t="shared" si="15"/>
        <v>1.2</v>
      </c>
      <c r="O17" s="4">
        <f t="shared" si="16"/>
        <v>0</v>
      </c>
      <c r="P17" s="4">
        <f t="shared" si="17"/>
        <v>0.308333333333333</v>
      </c>
      <c r="Q17" s="4">
        <f t="shared" si="18"/>
        <v>0.283333333333334</v>
      </c>
      <c r="R17" s="4">
        <f t="shared" si="19"/>
        <v>0.583333333333333</v>
      </c>
      <c r="S17" s="4">
        <f t="shared" si="20"/>
        <v>0.916666666666667</v>
      </c>
      <c r="T17" s="4">
        <f t="shared" si="21"/>
        <v>0.875</v>
      </c>
      <c r="U17" s="4">
        <f t="shared" si="22"/>
        <v>0.908333333333334</v>
      </c>
      <c r="V17" s="4">
        <f t="shared" si="23"/>
        <v>0.641666666666667</v>
      </c>
      <c r="W17" s="4">
        <f t="shared" si="24"/>
        <v>0.958333333333333</v>
      </c>
      <c r="X17" s="4">
        <f t="shared" si="25"/>
        <v>1</v>
      </c>
    </row>
    <row r="18" spans="1:24">
      <c r="A18" s="218" t="s">
        <v>22</v>
      </c>
      <c r="B18" s="4">
        <v>98.38</v>
      </c>
      <c r="C18" s="4">
        <v>96.17</v>
      </c>
      <c r="D18">
        <v>96.6</v>
      </c>
      <c r="E18">
        <v>96.7</v>
      </c>
      <c r="F18" s="4">
        <v>97.01</v>
      </c>
      <c r="G18">
        <v>96.9</v>
      </c>
      <c r="H18" s="4">
        <v>97</v>
      </c>
      <c r="I18" s="4">
        <v>97.1</v>
      </c>
      <c r="J18" s="4">
        <v>97.1</v>
      </c>
      <c r="K18" s="4">
        <v>97.59</v>
      </c>
      <c r="L18" s="4">
        <f t="shared" si="13"/>
        <v>98.38</v>
      </c>
      <c r="M18" s="4">
        <f t="shared" si="14"/>
        <v>96.17</v>
      </c>
      <c r="N18" s="4">
        <f t="shared" si="15"/>
        <v>2.20999999999999</v>
      </c>
      <c r="O18" s="4">
        <f t="shared" si="16"/>
        <v>1</v>
      </c>
      <c r="P18" s="4">
        <f t="shared" si="17"/>
        <v>0</v>
      </c>
      <c r="Q18" s="4">
        <f t="shared" si="18"/>
        <v>0.194570135746604</v>
      </c>
      <c r="R18" s="4">
        <f t="shared" si="19"/>
        <v>0.239819004524888</v>
      </c>
      <c r="S18" s="4">
        <f t="shared" si="20"/>
        <v>0.380090497737559</v>
      </c>
      <c r="T18" s="4">
        <f t="shared" si="21"/>
        <v>0.330316742081451</v>
      </c>
      <c r="U18" s="4">
        <f t="shared" si="22"/>
        <v>0.375565610859729</v>
      </c>
      <c r="V18" s="4">
        <f t="shared" si="23"/>
        <v>0.420814479638007</v>
      </c>
      <c r="W18" s="4">
        <f t="shared" si="24"/>
        <v>0.420814479638007</v>
      </c>
      <c r="X18" s="4">
        <f t="shared" si="25"/>
        <v>0.642533936651586</v>
      </c>
    </row>
    <row r="19" spans="1:24">
      <c r="A19" s="218" t="s">
        <v>23</v>
      </c>
      <c r="B19" s="4">
        <v>6273</v>
      </c>
      <c r="C19" s="4">
        <v>7264</v>
      </c>
      <c r="D19">
        <v>3902</v>
      </c>
      <c r="E19">
        <v>2310</v>
      </c>
      <c r="F19" s="4">
        <v>2023</v>
      </c>
      <c r="G19">
        <v>2269</v>
      </c>
      <c r="H19" s="4">
        <v>1726</v>
      </c>
      <c r="I19" s="4">
        <v>1747</v>
      </c>
      <c r="J19" s="4">
        <v>1837</v>
      </c>
      <c r="K19" s="4">
        <v>1856</v>
      </c>
      <c r="L19" s="4">
        <f t="shared" si="13"/>
        <v>7264</v>
      </c>
      <c r="M19" s="4">
        <f t="shared" si="14"/>
        <v>1726</v>
      </c>
      <c r="N19" s="4">
        <f t="shared" si="15"/>
        <v>5538</v>
      </c>
      <c r="O19" s="4">
        <f>(L19-B19)/N19</f>
        <v>0.178945467677862</v>
      </c>
      <c r="P19" s="4">
        <f>(L19-C19)/N19</f>
        <v>0</v>
      </c>
      <c r="Q19" s="4">
        <f>(L19-D19)/N19</f>
        <v>0.607078367641748</v>
      </c>
      <c r="R19" s="4">
        <f>(L19-E19)/N19</f>
        <v>0.894546767786204</v>
      </c>
      <c r="S19" s="4">
        <f>(L19-F19)/N19</f>
        <v>0.946370530877573</v>
      </c>
      <c r="T19" s="4">
        <f>(L19-G19)/N19</f>
        <v>0.901950162513543</v>
      </c>
      <c r="U19" s="4">
        <f>(L19-H19)/N19</f>
        <v>1</v>
      </c>
      <c r="V19" s="4">
        <f>(L19-I19)/N19</f>
        <v>0.996208017334778</v>
      </c>
      <c r="W19" s="4">
        <f>(L19-J19)/N19</f>
        <v>0.979956663055255</v>
      </c>
      <c r="X19" s="4">
        <f>(L19-K19)/N19</f>
        <v>0.976525821596244</v>
      </c>
    </row>
    <row r="20" spans="1:24">
      <c r="A20" s="218" t="s">
        <v>24</v>
      </c>
      <c r="B20" s="4">
        <v>65512</v>
      </c>
      <c r="C20" s="4">
        <v>46689</v>
      </c>
      <c r="D20">
        <v>24127</v>
      </c>
      <c r="E20">
        <v>18923</v>
      </c>
      <c r="F20" s="4">
        <v>18961</v>
      </c>
      <c r="G20">
        <v>14269</v>
      </c>
      <c r="H20" s="4">
        <v>5604</v>
      </c>
      <c r="I20" s="4">
        <v>5597</v>
      </c>
      <c r="J20" s="4">
        <v>5236</v>
      </c>
      <c r="K20" s="4">
        <v>5666</v>
      </c>
      <c r="L20" s="4">
        <f t="shared" si="13"/>
        <v>65512</v>
      </c>
      <c r="M20" s="4">
        <f t="shared" si="14"/>
        <v>5236</v>
      </c>
      <c r="N20" s="4">
        <f t="shared" si="15"/>
        <v>60276</v>
      </c>
      <c r="O20" s="4">
        <f>(L20-B20)/N20</f>
        <v>0</v>
      </c>
      <c r="P20" s="4">
        <f>(L20-C20)/N20</f>
        <v>0.312280177848563</v>
      </c>
      <c r="Q20" s="4">
        <f>(L20-D20)/N20</f>
        <v>0.686591678279912</v>
      </c>
      <c r="R20" s="4">
        <f>(L20-E20)/N20</f>
        <v>0.772927865153627</v>
      </c>
      <c r="S20" s="4">
        <f>(L20-F20)/N20</f>
        <v>0.772297431813657</v>
      </c>
      <c r="T20" s="4">
        <f>(L20-G20)/N20</f>
        <v>0.850139358948835</v>
      </c>
      <c r="U20" s="4">
        <f>(L20-H20)/N20</f>
        <v>0.993894750812927</v>
      </c>
      <c r="V20" s="4">
        <f>(L20-I20)/N20</f>
        <v>0.99401088327029</v>
      </c>
      <c r="W20" s="4">
        <f>(L20-J20)/N20</f>
        <v>1</v>
      </c>
      <c r="X20" s="4">
        <f>(L20-K20)/N20</f>
        <v>0.992866149047714</v>
      </c>
    </row>
    <row r="21" ht="15.75" spans="1:24">
      <c r="A21" s="220" t="s">
        <v>25</v>
      </c>
      <c r="B21" s="4">
        <v>100</v>
      </c>
      <c r="C21" s="4">
        <v>99.73</v>
      </c>
      <c r="D21">
        <v>99.59</v>
      </c>
      <c r="E21">
        <v>99.53</v>
      </c>
      <c r="F21" s="4">
        <v>99.37</v>
      </c>
      <c r="G21" s="4">
        <v>99.14</v>
      </c>
      <c r="H21" s="4">
        <v>99</v>
      </c>
      <c r="I21" s="4">
        <v>98.98</v>
      </c>
      <c r="J21" s="4">
        <v>99.33</v>
      </c>
      <c r="K21" s="4">
        <v>99.41</v>
      </c>
      <c r="L21" s="4">
        <f t="shared" si="13"/>
        <v>100</v>
      </c>
      <c r="M21" s="4">
        <f t="shared" si="14"/>
        <v>98.98</v>
      </c>
      <c r="N21" s="4">
        <f t="shared" si="15"/>
        <v>1.02</v>
      </c>
      <c r="O21" s="4">
        <f t="shared" ref="O21:O24" si="26">(B21-M21)/N21</f>
        <v>1</v>
      </c>
      <c r="P21" s="4">
        <f t="shared" ref="P21:P24" si="27">(C21-M21)/N21</f>
        <v>0.735294117647062</v>
      </c>
      <c r="Q21" s="4">
        <f t="shared" ref="Q21:Q24" si="28">(D21-M21)/N21</f>
        <v>0.598039215686276</v>
      </c>
      <c r="R21" s="4">
        <f t="shared" ref="R21:R24" si="29">(E21-M21)/N21</f>
        <v>0.539215686274509</v>
      </c>
      <c r="S21" s="4">
        <f t="shared" ref="S21:S24" si="30">(F21-M21)/N21</f>
        <v>0.382352941176473</v>
      </c>
      <c r="T21" s="4">
        <f t="shared" ref="T21:T24" si="31">(G21-M21)/N21</f>
        <v>0.156862745098036</v>
      </c>
      <c r="U21" s="4">
        <f t="shared" ref="U21:U24" si="32">(H21-M21)/N21</f>
        <v>0.0196078431372511</v>
      </c>
      <c r="V21" s="4">
        <f t="shared" ref="V21:V24" si="33">(I21-M21)/N21</f>
        <v>0</v>
      </c>
      <c r="W21" s="4">
        <f t="shared" ref="W21:W24" si="34">(J21-M21)/N21</f>
        <v>0.343137254901957</v>
      </c>
      <c r="X21" s="4">
        <f t="shared" ref="X21:X24" si="35">(K21-M21)/N21</f>
        <v>0.421568627450975</v>
      </c>
    </row>
    <row r="22" ht="15.75" spans="1:24">
      <c r="A22" s="220" t="s">
        <v>26</v>
      </c>
      <c r="B22" s="4">
        <v>100</v>
      </c>
      <c r="C22" s="4">
        <v>99.73</v>
      </c>
      <c r="D22">
        <v>99.61</v>
      </c>
      <c r="E22">
        <v>99.7</v>
      </c>
      <c r="F22" s="4">
        <v>99.47</v>
      </c>
      <c r="G22" s="4">
        <v>99.17</v>
      </c>
      <c r="H22" s="4">
        <v>98.94</v>
      </c>
      <c r="I22" s="4">
        <v>98.94</v>
      </c>
      <c r="J22" s="4">
        <v>99.49</v>
      </c>
      <c r="K22" s="4">
        <v>99.66</v>
      </c>
      <c r="L22" s="4">
        <f t="shared" si="13"/>
        <v>100</v>
      </c>
      <c r="M22" s="4">
        <f t="shared" si="14"/>
        <v>98.94</v>
      </c>
      <c r="N22" s="4">
        <f t="shared" si="15"/>
        <v>1.06</v>
      </c>
      <c r="O22" s="4">
        <f t="shared" si="26"/>
        <v>1</v>
      </c>
      <c r="P22" s="4">
        <f t="shared" si="27"/>
        <v>0.745283018867929</v>
      </c>
      <c r="Q22" s="4">
        <f t="shared" si="28"/>
        <v>0.632075471698114</v>
      </c>
      <c r="R22" s="4">
        <f t="shared" si="29"/>
        <v>0.716981132075475</v>
      </c>
      <c r="S22" s="4">
        <f t="shared" si="30"/>
        <v>0.5</v>
      </c>
      <c r="T22" s="4">
        <f t="shared" si="31"/>
        <v>0.216981132075475</v>
      </c>
      <c r="U22" s="4">
        <f t="shared" si="32"/>
        <v>0</v>
      </c>
      <c r="V22" s="4">
        <f t="shared" si="33"/>
        <v>0</v>
      </c>
      <c r="W22" s="4">
        <f t="shared" si="34"/>
        <v>0.518867924528298</v>
      </c>
      <c r="X22" s="4">
        <f t="shared" si="35"/>
        <v>0.679245283018865</v>
      </c>
    </row>
    <row r="23" spans="1:24">
      <c r="A23" s="221" t="s">
        <v>27</v>
      </c>
      <c r="B23" s="218">
        <v>0.7139</v>
      </c>
      <c r="C23" s="218">
        <v>0.734</v>
      </c>
      <c r="D23" s="218">
        <v>0.7585</v>
      </c>
      <c r="E23" s="218">
        <v>0.7399</v>
      </c>
      <c r="F23" s="218">
        <v>0.7687</v>
      </c>
      <c r="G23" s="218">
        <v>0.7429</v>
      </c>
      <c r="H23" s="218">
        <v>0.7184</v>
      </c>
      <c r="I23" s="218">
        <v>0.7678</v>
      </c>
      <c r="J23" s="218">
        <v>0.7685</v>
      </c>
      <c r="K23" s="218">
        <v>0.7667</v>
      </c>
      <c r="L23" s="4">
        <f t="shared" si="13"/>
        <v>0.7687</v>
      </c>
      <c r="M23" s="4">
        <f t="shared" si="14"/>
        <v>0.7139</v>
      </c>
      <c r="N23" s="4">
        <f t="shared" si="15"/>
        <v>0.0548000000000001</v>
      </c>
      <c r="O23" s="4">
        <f t="shared" si="26"/>
        <v>0</v>
      </c>
      <c r="P23" s="4">
        <f t="shared" si="27"/>
        <v>0.366788321167883</v>
      </c>
      <c r="Q23" s="4">
        <f t="shared" si="28"/>
        <v>0.813868613138685</v>
      </c>
      <c r="R23" s="4">
        <f t="shared" si="29"/>
        <v>0.474452554744525</v>
      </c>
      <c r="S23" s="4">
        <f t="shared" si="30"/>
        <v>1</v>
      </c>
      <c r="T23" s="4">
        <f t="shared" si="31"/>
        <v>0.529197080291971</v>
      </c>
      <c r="U23" s="4">
        <f t="shared" si="32"/>
        <v>0.0821167883211689</v>
      </c>
      <c r="V23" s="4">
        <f t="shared" si="33"/>
        <v>0.983576642335766</v>
      </c>
      <c r="W23" s="4">
        <f t="shared" si="34"/>
        <v>0.996350364963502</v>
      </c>
      <c r="X23" s="4">
        <f t="shared" si="35"/>
        <v>0.963503649635037</v>
      </c>
    </row>
    <row r="24" spans="1:24">
      <c r="A24" s="221" t="s">
        <v>28</v>
      </c>
      <c r="B24" s="218">
        <v>0.92</v>
      </c>
      <c r="C24" s="218">
        <v>0.9798</v>
      </c>
      <c r="D24" s="218">
        <v>0.943</v>
      </c>
      <c r="E24" s="218">
        <v>0.9018</v>
      </c>
      <c r="F24" s="218">
        <v>0.9989</v>
      </c>
      <c r="G24" s="218">
        <v>1.0109</v>
      </c>
      <c r="H24" s="218">
        <v>1.0019</v>
      </c>
      <c r="I24" s="218">
        <v>1.0364</v>
      </c>
      <c r="J24" s="218">
        <v>1.12</v>
      </c>
      <c r="K24" s="218">
        <v>1.0597</v>
      </c>
      <c r="L24" s="4">
        <f t="shared" si="13"/>
        <v>1.12</v>
      </c>
      <c r="M24" s="4">
        <f t="shared" si="14"/>
        <v>0.9018</v>
      </c>
      <c r="N24" s="4">
        <f t="shared" si="15"/>
        <v>0.2182</v>
      </c>
      <c r="O24" s="4">
        <f t="shared" si="26"/>
        <v>0.0834097158570119</v>
      </c>
      <c r="P24" s="4">
        <f t="shared" si="27"/>
        <v>0.357470210815765</v>
      </c>
      <c r="Q24" s="4">
        <f t="shared" si="28"/>
        <v>0.188817598533455</v>
      </c>
      <c r="R24" s="4">
        <f t="shared" si="29"/>
        <v>0</v>
      </c>
      <c r="S24" s="4">
        <f t="shared" si="30"/>
        <v>0.44500458295142</v>
      </c>
      <c r="T24" s="4">
        <f t="shared" si="31"/>
        <v>0.499999999999999</v>
      </c>
      <c r="U24" s="4">
        <f t="shared" si="32"/>
        <v>0.458753437213565</v>
      </c>
      <c r="V24" s="4">
        <f t="shared" si="33"/>
        <v>0.61686526122823</v>
      </c>
      <c r="W24" s="4">
        <f t="shared" si="34"/>
        <v>1</v>
      </c>
      <c r="X24" s="4">
        <f t="shared" si="35"/>
        <v>0.723648029330889</v>
      </c>
    </row>
    <row r="25" spans="1:24">
      <c r="L25" s="4"/>
      <c r="M25" s="4"/>
      <c r="N25" s="4"/>
      <c r="O25" s="4"/>
      <c r="P25" s="4"/>
      <c r="Q25" s="4"/>
      <c r="R25" s="4"/>
      <c r="S25" s="4"/>
      <c r="T25" s="4"/>
    </row>
    <row r="26" spans="1:24">
      <c r="L26" s="4"/>
      <c r="M26" s="4"/>
      <c r="N26" s="4"/>
      <c r="O26" s="4">
        <v>2014</v>
      </c>
      <c r="P26" s="4">
        <v>2015</v>
      </c>
      <c r="Q26" s="4">
        <v>2016</v>
      </c>
      <c r="R26" s="4">
        <v>2017</v>
      </c>
      <c r="S26" s="4">
        <v>2018</v>
      </c>
      <c r="T26" s="4">
        <v>2019</v>
      </c>
      <c r="U26" s="4">
        <v>2020</v>
      </c>
      <c r="V26" s="4">
        <v>2021</v>
      </c>
      <c r="W26" s="4">
        <v>2022</v>
      </c>
      <c r="X26" s="4">
        <v>2023</v>
      </c>
    </row>
    <row r="27" spans="1:24">
      <c r="L27" s="4"/>
      <c r="M27" s="4"/>
      <c r="N27" s="4"/>
      <c r="O27" s="4">
        <f t="shared" ref="O27:X27" si="36">ROUND(O2,4)+0.0001</f>
        <v>0.188</v>
      </c>
      <c r="P27" s="4">
        <f t="shared" si="36"/>
        <v>0.2391</v>
      </c>
      <c r="Q27" s="4">
        <f t="shared" si="36"/>
        <v>0.3394</v>
      </c>
      <c r="R27" s="4">
        <f t="shared" si="36"/>
        <v>0.0001</v>
      </c>
      <c r="S27" s="4">
        <f t="shared" si="36"/>
        <v>0.6296</v>
      </c>
      <c r="T27" s="4">
        <f t="shared" si="36"/>
        <v>0.6057</v>
      </c>
      <c r="U27" s="4">
        <f t="shared" si="36"/>
        <v>0.6807</v>
      </c>
      <c r="V27" s="4">
        <f t="shared" si="36"/>
        <v>0.8409</v>
      </c>
      <c r="W27" s="4">
        <f t="shared" si="36"/>
        <v>0.9078</v>
      </c>
      <c r="X27" s="4">
        <f t="shared" si="36"/>
        <v>1.0001</v>
      </c>
    </row>
    <row r="28" spans="1:24">
      <c r="L28" s="4"/>
      <c r="M28" s="4"/>
      <c r="N28" s="4"/>
      <c r="O28" s="4">
        <f t="shared" ref="O28:X28" si="37">ROUND(O3,4)+0.0001</f>
        <v>0.0001</v>
      </c>
      <c r="P28" s="4">
        <f t="shared" si="37"/>
        <v>0.0001</v>
      </c>
      <c r="Q28" s="4">
        <f t="shared" si="37"/>
        <v>0.2501</v>
      </c>
      <c r="R28" s="4">
        <f t="shared" si="37"/>
        <v>0.3751</v>
      </c>
      <c r="S28" s="4">
        <f t="shared" si="37"/>
        <v>0.6251</v>
      </c>
      <c r="T28" s="4">
        <f t="shared" si="37"/>
        <v>1.0001</v>
      </c>
      <c r="U28" s="4">
        <f t="shared" si="37"/>
        <v>0.8751</v>
      </c>
      <c r="V28" s="4">
        <f t="shared" si="37"/>
        <v>0.8751</v>
      </c>
      <c r="W28" s="4">
        <f t="shared" si="37"/>
        <v>0.3751</v>
      </c>
      <c r="X28" s="4">
        <f t="shared" si="37"/>
        <v>0.5001</v>
      </c>
    </row>
    <row r="29" spans="1:24">
      <c r="L29" s="4"/>
      <c r="M29" s="4"/>
      <c r="N29" s="4"/>
      <c r="O29" s="4">
        <f t="shared" ref="O29:X29" si="38">ROUND(O4,4)+0.0001</f>
        <v>0.4294</v>
      </c>
      <c r="P29" s="4">
        <f t="shared" si="38"/>
        <v>0.3373</v>
      </c>
      <c r="Q29" s="4">
        <f t="shared" si="38"/>
        <v>0.1878</v>
      </c>
      <c r="R29" s="4">
        <f t="shared" si="38"/>
        <v>0.2476</v>
      </c>
      <c r="S29" s="4">
        <f t="shared" si="38"/>
        <v>0.1221</v>
      </c>
      <c r="T29" s="4">
        <f t="shared" si="38"/>
        <v>0.1739</v>
      </c>
      <c r="U29" s="4">
        <f t="shared" si="38"/>
        <v>0.2376</v>
      </c>
      <c r="V29" s="4">
        <f t="shared" si="38"/>
        <v>1.0001</v>
      </c>
      <c r="W29" s="4">
        <f t="shared" si="38"/>
        <v>0.0001</v>
      </c>
      <c r="X29" s="4">
        <f t="shared" si="38"/>
        <v>0.0599</v>
      </c>
    </row>
    <row r="30" spans="1:24">
      <c r="L30" s="4"/>
      <c r="M30" s="4"/>
      <c r="N30" s="4"/>
      <c r="O30" s="4">
        <f t="shared" ref="O30:X30" si="39">ROUND(O5,4)+0.0001</f>
        <v>0.1539</v>
      </c>
      <c r="P30" s="4">
        <f t="shared" si="39"/>
        <v>0.2309</v>
      </c>
      <c r="Q30" s="4">
        <f t="shared" si="39"/>
        <v>0.3078</v>
      </c>
      <c r="R30" s="4">
        <f t="shared" si="39"/>
        <v>0.0001</v>
      </c>
      <c r="S30" s="4">
        <f t="shared" si="39"/>
        <v>0.6155</v>
      </c>
      <c r="T30" s="4">
        <f t="shared" si="39"/>
        <v>0.6155</v>
      </c>
      <c r="U30" s="4">
        <f t="shared" si="39"/>
        <v>0.6924</v>
      </c>
      <c r="V30" s="4">
        <f t="shared" si="39"/>
        <v>0.8463</v>
      </c>
      <c r="W30" s="4">
        <f t="shared" si="39"/>
        <v>0.8463</v>
      </c>
      <c r="X30" s="4">
        <f t="shared" si="39"/>
        <v>1.0001</v>
      </c>
    </row>
    <row r="31" spans="1:24">
      <c r="L31" s="4"/>
      <c r="M31" s="4"/>
      <c r="N31" s="4"/>
      <c r="O31" s="4">
        <f t="shared" ref="O31:X31" si="40">ROUND(O6,4)+0.0001</f>
        <v>0.0001</v>
      </c>
      <c r="P31" s="4">
        <f t="shared" si="40"/>
        <v>0.0125</v>
      </c>
      <c r="Q31" s="4">
        <f t="shared" si="40"/>
        <v>0.0283</v>
      </c>
      <c r="R31" s="4">
        <f t="shared" si="40"/>
        <v>0.0662</v>
      </c>
      <c r="S31" s="4">
        <f t="shared" si="40"/>
        <v>0.3113</v>
      </c>
      <c r="T31" s="4">
        <f t="shared" si="40"/>
        <v>0.4733</v>
      </c>
      <c r="U31" s="4">
        <f t="shared" si="40"/>
        <v>0.7289</v>
      </c>
      <c r="V31" s="4">
        <f t="shared" si="40"/>
        <v>0.6153</v>
      </c>
      <c r="W31" s="4">
        <f t="shared" si="40"/>
        <v>0.9985</v>
      </c>
      <c r="X31" s="4">
        <f t="shared" si="40"/>
        <v>1.0001</v>
      </c>
    </row>
    <row r="32" spans="1:24">
      <c r="L32" s="4"/>
      <c r="M32" s="4"/>
      <c r="N32" s="4"/>
      <c r="O32" s="4">
        <f t="shared" ref="O32:X32" si="41">ROUND(O7,4)+0.0001</f>
        <v>0.0001</v>
      </c>
      <c r="P32" s="4">
        <f t="shared" si="41"/>
        <v>0.1965</v>
      </c>
      <c r="Q32" s="4">
        <f t="shared" si="41"/>
        <v>0.1973</v>
      </c>
      <c r="R32" s="4">
        <f t="shared" si="41"/>
        <v>0.1942</v>
      </c>
      <c r="S32" s="4">
        <f t="shared" si="41"/>
        <v>0.2959</v>
      </c>
      <c r="T32" s="4">
        <f t="shared" si="41"/>
        <v>0.4504</v>
      </c>
      <c r="U32" s="4">
        <f t="shared" si="41"/>
        <v>0.5552</v>
      </c>
      <c r="V32" s="4">
        <f t="shared" si="41"/>
        <v>0.6819</v>
      </c>
      <c r="W32" s="4">
        <f t="shared" si="41"/>
        <v>0.8893</v>
      </c>
      <c r="X32" s="4">
        <f t="shared" si="41"/>
        <v>1.0001</v>
      </c>
    </row>
    <row r="33" spans="12:24">
      <c r="L33" s="4"/>
      <c r="M33" s="4"/>
      <c r="N33" s="4"/>
      <c r="O33" s="4">
        <f t="shared" ref="O33:X33" si="42">ROUND(O8,4)+0.0001</f>
        <v>0.169</v>
      </c>
      <c r="P33" s="4">
        <f t="shared" si="42"/>
        <v>0.364</v>
      </c>
      <c r="Q33" s="4">
        <f t="shared" si="42"/>
        <v>0.577</v>
      </c>
      <c r="R33" s="4">
        <f t="shared" si="42"/>
        <v>0.828</v>
      </c>
      <c r="S33" s="4">
        <f t="shared" si="42"/>
        <v>1.0001</v>
      </c>
      <c r="T33" s="4">
        <f t="shared" si="42"/>
        <v>0.1439</v>
      </c>
      <c r="U33" s="4">
        <f t="shared" si="42"/>
        <v>0.0796</v>
      </c>
      <c r="V33" s="4">
        <f t="shared" si="42"/>
        <v>0.0001</v>
      </c>
      <c r="W33" s="4">
        <f t="shared" si="42"/>
        <v>0.2171</v>
      </c>
      <c r="X33" s="4">
        <f t="shared" si="42"/>
        <v>0.4496</v>
      </c>
    </row>
    <row r="34" spans="12:24">
      <c r="L34" s="4"/>
      <c r="M34" s="4"/>
      <c r="N34" s="4"/>
      <c r="O34" s="4">
        <f t="shared" ref="O34:X34" si="43">ROUND(O9,4)+0.0001</f>
        <v>0.0001</v>
      </c>
      <c r="P34" s="4">
        <f t="shared" si="43"/>
        <v>0.0413</v>
      </c>
      <c r="Q34" s="4">
        <f t="shared" si="43"/>
        <v>0.0037</v>
      </c>
      <c r="R34" s="4">
        <f t="shared" si="43"/>
        <v>1.0001</v>
      </c>
      <c r="S34" s="4">
        <f t="shared" si="43"/>
        <v>0.2568</v>
      </c>
      <c r="T34" s="4">
        <f t="shared" si="43"/>
        <v>0.212</v>
      </c>
      <c r="U34" s="4">
        <f t="shared" si="43"/>
        <v>0.0885</v>
      </c>
      <c r="V34" s="4">
        <f t="shared" si="43"/>
        <v>0.1853</v>
      </c>
      <c r="W34" s="4">
        <f t="shared" si="43"/>
        <v>0.1623</v>
      </c>
      <c r="X34" s="4">
        <f t="shared" si="43"/>
        <v>0.189</v>
      </c>
    </row>
    <row r="35" spans="12:24">
      <c r="L35" s="4"/>
      <c r="M35" s="4"/>
      <c r="N35" s="4"/>
      <c r="O35" s="4">
        <f t="shared" ref="O35:X35" si="44">ROUND(O10,4)+0.0001</f>
        <v>0.9537</v>
      </c>
      <c r="P35" s="4">
        <f t="shared" si="44"/>
        <v>1.0001</v>
      </c>
      <c r="Q35" s="4">
        <f t="shared" si="44"/>
        <v>0.9339</v>
      </c>
      <c r="R35" s="4">
        <f t="shared" si="44"/>
        <v>0.7484</v>
      </c>
      <c r="S35" s="4">
        <f t="shared" si="44"/>
        <v>0.7153</v>
      </c>
      <c r="T35" s="4">
        <f t="shared" si="44"/>
        <v>0.7816</v>
      </c>
      <c r="U35" s="4">
        <f t="shared" si="44"/>
        <v>0.7683</v>
      </c>
      <c r="V35" s="4">
        <f t="shared" si="44"/>
        <v>0.7021</v>
      </c>
      <c r="W35" s="4">
        <f t="shared" si="44"/>
        <v>0.1193</v>
      </c>
      <c r="X35" s="4">
        <f t="shared" si="44"/>
        <v>0.0001</v>
      </c>
    </row>
    <row r="36" spans="12:24">
      <c r="L36" s="4"/>
      <c r="M36" s="4"/>
      <c r="N36" s="4"/>
      <c r="O36" s="4">
        <f t="shared" ref="O36:X36" si="45">ROUND(O11,4)+0.0001</f>
        <v>0.0001</v>
      </c>
      <c r="P36" s="4">
        <f t="shared" si="45"/>
        <v>0.1339</v>
      </c>
      <c r="Q36" s="4">
        <f t="shared" si="45"/>
        <v>0.2536</v>
      </c>
      <c r="R36" s="4">
        <f t="shared" si="45"/>
        <v>0.3733</v>
      </c>
      <c r="S36" s="4">
        <f t="shared" si="45"/>
        <v>0.5142</v>
      </c>
      <c r="T36" s="4">
        <f t="shared" si="45"/>
        <v>0.6198</v>
      </c>
      <c r="U36" s="4">
        <f t="shared" si="45"/>
        <v>0.7184</v>
      </c>
      <c r="V36" s="4">
        <f t="shared" si="45"/>
        <v>0.7747</v>
      </c>
      <c r="W36" s="4">
        <f t="shared" si="45"/>
        <v>0.9508</v>
      </c>
      <c r="X36" s="4">
        <f t="shared" si="45"/>
        <v>1.0001</v>
      </c>
    </row>
    <row r="37" spans="12:24"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2:24">
      <c r="L38" s="4"/>
      <c r="M38" s="4"/>
      <c r="N38" s="4"/>
      <c r="O38" s="4">
        <f t="shared" ref="O38:X38" si="46">ROUND(O13,4)+0.0001</f>
        <v>1.0001</v>
      </c>
      <c r="P38" s="4">
        <f t="shared" si="46"/>
        <v>0.5313</v>
      </c>
      <c r="Q38" s="4">
        <f t="shared" si="46"/>
        <v>0.4063</v>
      </c>
      <c r="R38" s="4">
        <f t="shared" si="46"/>
        <v>0.2189</v>
      </c>
      <c r="S38" s="4">
        <f t="shared" si="46"/>
        <v>0.1876</v>
      </c>
      <c r="T38" s="4">
        <f t="shared" si="46"/>
        <v>0.0001</v>
      </c>
      <c r="U38" s="4">
        <f t="shared" si="46"/>
        <v>0.2189</v>
      </c>
      <c r="V38" s="4">
        <f t="shared" si="46"/>
        <v>0.2189</v>
      </c>
      <c r="W38" s="4">
        <f t="shared" si="46"/>
        <v>0.7189</v>
      </c>
      <c r="X38" s="4">
        <f t="shared" si="46"/>
        <v>0.4376</v>
      </c>
    </row>
    <row r="39" spans="12:24">
      <c r="L39" s="4"/>
      <c r="M39" s="4"/>
      <c r="N39" s="4"/>
      <c r="O39" s="4">
        <f t="shared" ref="O39:X39" si="47">ROUND(O14,4)+0.0001</f>
        <v>0.6945</v>
      </c>
      <c r="P39" s="4">
        <f t="shared" si="47"/>
        <v>0.5279</v>
      </c>
      <c r="Q39" s="4">
        <f t="shared" si="47"/>
        <v>0.4723</v>
      </c>
      <c r="R39" s="4">
        <f t="shared" si="47"/>
        <v>0.639</v>
      </c>
      <c r="S39" s="4">
        <f t="shared" si="47"/>
        <v>0.4862</v>
      </c>
      <c r="T39" s="4">
        <f t="shared" si="47"/>
        <v>0.2362</v>
      </c>
      <c r="U39" s="4">
        <f t="shared" si="47"/>
        <v>0.0001</v>
      </c>
      <c r="V39" s="4">
        <f t="shared" si="47"/>
        <v>0.0279</v>
      </c>
      <c r="W39" s="4">
        <f t="shared" si="47"/>
        <v>0.7084</v>
      </c>
      <c r="X39" s="4">
        <f t="shared" si="47"/>
        <v>1.0001</v>
      </c>
    </row>
    <row r="40" spans="12:24">
      <c r="L40" s="4"/>
      <c r="M40" s="4"/>
      <c r="N40" s="4"/>
      <c r="O40" s="4">
        <f t="shared" ref="O40:X40" si="48">ROUND(O15,4)+0.0001</f>
        <v>0.9283</v>
      </c>
      <c r="P40" s="4">
        <f t="shared" si="48"/>
        <v>1.0001</v>
      </c>
      <c r="Q40" s="4">
        <f t="shared" si="48"/>
        <v>0.957</v>
      </c>
      <c r="R40" s="4">
        <f t="shared" si="48"/>
        <v>0.8853</v>
      </c>
      <c r="S40" s="4">
        <f t="shared" si="48"/>
        <v>0.7513</v>
      </c>
      <c r="T40" s="4">
        <f t="shared" si="48"/>
        <v>0.5982</v>
      </c>
      <c r="U40" s="4">
        <f t="shared" si="48"/>
        <v>0.402</v>
      </c>
      <c r="V40" s="4">
        <f t="shared" si="48"/>
        <v>0.3255</v>
      </c>
      <c r="W40" s="4">
        <f t="shared" si="48"/>
        <v>0.0767</v>
      </c>
      <c r="X40" s="4">
        <f t="shared" si="48"/>
        <v>0.0001</v>
      </c>
    </row>
    <row r="41" spans="12:24">
      <c r="L41" s="4"/>
      <c r="M41" s="4"/>
      <c r="N41" s="4"/>
      <c r="O41" s="4">
        <f t="shared" ref="O41:X41" si="49">ROUND(O16,4)+0.0001</f>
        <v>1.0001</v>
      </c>
      <c r="P41" s="4">
        <f t="shared" si="49"/>
        <v>0.0001</v>
      </c>
      <c r="Q41" s="4">
        <f t="shared" si="49"/>
        <v>0.0317</v>
      </c>
      <c r="R41" s="4">
        <f t="shared" si="49"/>
        <v>0.0112</v>
      </c>
      <c r="S41" s="4">
        <f t="shared" si="49"/>
        <v>0.177</v>
      </c>
      <c r="T41" s="4">
        <f t="shared" si="49"/>
        <v>0.2434</v>
      </c>
      <c r="U41" s="4">
        <f t="shared" si="49"/>
        <v>0.1628</v>
      </c>
      <c r="V41" s="4">
        <f t="shared" si="49"/>
        <v>0.1628</v>
      </c>
      <c r="W41" s="4">
        <f t="shared" si="49"/>
        <v>0.0917</v>
      </c>
      <c r="X41" s="4">
        <f t="shared" si="49"/>
        <v>0.1913</v>
      </c>
    </row>
    <row r="42" spans="12:24">
      <c r="L42" s="4"/>
      <c r="M42" s="4"/>
      <c r="N42" s="4"/>
      <c r="O42" s="4">
        <f t="shared" ref="O42:X42" si="50">ROUND(O17,4)+0.0001</f>
        <v>0.0001</v>
      </c>
      <c r="P42" s="4">
        <f t="shared" si="50"/>
        <v>0.3084</v>
      </c>
      <c r="Q42" s="4">
        <f t="shared" si="50"/>
        <v>0.2834</v>
      </c>
      <c r="R42" s="4">
        <f t="shared" si="50"/>
        <v>0.5834</v>
      </c>
      <c r="S42" s="4">
        <f t="shared" si="50"/>
        <v>0.9168</v>
      </c>
      <c r="T42" s="4">
        <f t="shared" si="50"/>
        <v>0.8751</v>
      </c>
      <c r="U42" s="4">
        <f t="shared" si="50"/>
        <v>0.9084</v>
      </c>
      <c r="V42" s="4">
        <f t="shared" si="50"/>
        <v>0.6418</v>
      </c>
      <c r="W42" s="4">
        <f t="shared" si="50"/>
        <v>0.9584</v>
      </c>
      <c r="X42" s="4">
        <f t="shared" si="50"/>
        <v>1.0001</v>
      </c>
    </row>
    <row r="43" spans="12:24">
      <c r="L43" s="4"/>
      <c r="M43" s="4"/>
      <c r="N43" s="4"/>
      <c r="O43" s="4">
        <f t="shared" ref="O43:X43" si="51">ROUND(O18,4)+0.0001</f>
        <v>1.0001</v>
      </c>
      <c r="P43" s="4">
        <f t="shared" si="51"/>
        <v>0.0001</v>
      </c>
      <c r="Q43" s="4">
        <f t="shared" si="51"/>
        <v>0.1947</v>
      </c>
      <c r="R43" s="4">
        <f t="shared" si="51"/>
        <v>0.2399</v>
      </c>
      <c r="S43" s="4">
        <f t="shared" si="51"/>
        <v>0.3802</v>
      </c>
      <c r="T43" s="4">
        <f t="shared" si="51"/>
        <v>0.3304</v>
      </c>
      <c r="U43" s="4">
        <f t="shared" si="51"/>
        <v>0.3757</v>
      </c>
      <c r="V43" s="4">
        <f t="shared" si="51"/>
        <v>0.4209</v>
      </c>
      <c r="W43" s="4">
        <f t="shared" si="51"/>
        <v>0.4209</v>
      </c>
      <c r="X43" s="4">
        <f t="shared" si="51"/>
        <v>0.6426</v>
      </c>
    </row>
    <row r="44" spans="12:24">
      <c r="L44" s="4"/>
      <c r="M44" s="4"/>
      <c r="N44" s="4"/>
      <c r="O44" s="4">
        <f t="shared" ref="O44:X44" si="52">ROUND(O19,4)+0.0001</f>
        <v>0.179</v>
      </c>
      <c r="P44" s="4">
        <f t="shared" si="52"/>
        <v>0.0001</v>
      </c>
      <c r="Q44" s="4">
        <f t="shared" si="52"/>
        <v>0.6072</v>
      </c>
      <c r="R44" s="4">
        <f t="shared" si="52"/>
        <v>0.8946</v>
      </c>
      <c r="S44" s="4">
        <f t="shared" si="52"/>
        <v>0.9465</v>
      </c>
      <c r="T44" s="4">
        <f t="shared" si="52"/>
        <v>0.9021</v>
      </c>
      <c r="U44" s="4">
        <f t="shared" si="52"/>
        <v>1.0001</v>
      </c>
      <c r="V44" s="4">
        <f t="shared" si="52"/>
        <v>0.9963</v>
      </c>
      <c r="W44" s="4">
        <f t="shared" si="52"/>
        <v>0.9801</v>
      </c>
      <c r="X44" s="4">
        <f t="shared" si="52"/>
        <v>0.9766</v>
      </c>
    </row>
    <row r="45" spans="12:24">
      <c r="L45" s="4"/>
      <c r="M45" s="4"/>
      <c r="N45" s="4"/>
      <c r="O45" s="4">
        <f t="shared" ref="O45:X45" si="53">ROUND(O20,4)+0.0001</f>
        <v>0.0001</v>
      </c>
      <c r="P45" s="4">
        <f t="shared" si="53"/>
        <v>0.3124</v>
      </c>
      <c r="Q45" s="4">
        <f t="shared" si="53"/>
        <v>0.6867</v>
      </c>
      <c r="R45" s="4">
        <f t="shared" si="53"/>
        <v>0.773</v>
      </c>
      <c r="S45" s="4">
        <f t="shared" si="53"/>
        <v>0.7724</v>
      </c>
      <c r="T45" s="4">
        <f t="shared" si="53"/>
        <v>0.8502</v>
      </c>
      <c r="U45" s="4">
        <f t="shared" si="53"/>
        <v>0.994</v>
      </c>
      <c r="V45" s="4">
        <f t="shared" si="53"/>
        <v>0.9941</v>
      </c>
      <c r="W45" s="4">
        <f t="shared" si="53"/>
        <v>1.0001</v>
      </c>
      <c r="X45" s="4">
        <f t="shared" si="53"/>
        <v>0.993</v>
      </c>
    </row>
    <row r="46" spans="12:24">
      <c r="L46" s="4"/>
      <c r="M46" s="4"/>
      <c r="N46" s="4"/>
      <c r="O46" s="4">
        <f t="shared" ref="O46:X46" si="54">ROUND(O21,4)+0.0001</f>
        <v>1.0001</v>
      </c>
      <c r="P46" s="4">
        <f t="shared" si="54"/>
        <v>0.7354</v>
      </c>
      <c r="Q46" s="4">
        <f t="shared" si="54"/>
        <v>0.5981</v>
      </c>
      <c r="R46" s="4">
        <f t="shared" si="54"/>
        <v>0.5393</v>
      </c>
      <c r="S46" s="4">
        <f t="shared" si="54"/>
        <v>0.3825</v>
      </c>
      <c r="T46" s="4">
        <f t="shared" si="54"/>
        <v>0.157</v>
      </c>
      <c r="U46" s="4">
        <f t="shared" si="54"/>
        <v>0.0197</v>
      </c>
      <c r="V46" s="4">
        <f t="shared" si="54"/>
        <v>0.0001</v>
      </c>
      <c r="W46" s="4">
        <f t="shared" si="54"/>
        <v>0.3432</v>
      </c>
      <c r="X46" s="4">
        <f t="shared" si="54"/>
        <v>0.4217</v>
      </c>
    </row>
    <row r="47" spans="12:24">
      <c r="L47" s="4"/>
      <c r="M47" s="4"/>
      <c r="N47" s="4"/>
      <c r="O47" s="4">
        <f t="shared" ref="O47:X47" si="55">ROUND(O22,4)+0.0001</f>
        <v>1.0001</v>
      </c>
      <c r="P47" s="4">
        <f t="shared" si="55"/>
        <v>0.7454</v>
      </c>
      <c r="Q47" s="4">
        <f t="shared" si="55"/>
        <v>0.6322</v>
      </c>
      <c r="R47" s="4">
        <f t="shared" si="55"/>
        <v>0.7171</v>
      </c>
      <c r="S47" s="4">
        <f t="shared" si="55"/>
        <v>0.5001</v>
      </c>
      <c r="T47" s="4">
        <f t="shared" si="55"/>
        <v>0.2171</v>
      </c>
      <c r="U47" s="4">
        <f t="shared" si="55"/>
        <v>0.0001</v>
      </c>
      <c r="V47" s="4">
        <f t="shared" si="55"/>
        <v>0.0001</v>
      </c>
      <c r="W47" s="4">
        <f t="shared" si="55"/>
        <v>0.519</v>
      </c>
      <c r="X47" s="4">
        <f t="shared" si="55"/>
        <v>0.6793</v>
      </c>
    </row>
    <row r="48" spans="12:24">
      <c r="L48" s="4"/>
      <c r="M48" s="4"/>
      <c r="N48" s="4"/>
      <c r="O48" s="4">
        <f t="shared" ref="O48:X48" si="56">ROUND(O23,4)+0.0001</f>
        <v>0.0001</v>
      </c>
      <c r="P48" s="4">
        <f t="shared" si="56"/>
        <v>0.3669</v>
      </c>
      <c r="Q48" s="4">
        <f t="shared" si="56"/>
        <v>0.814</v>
      </c>
      <c r="R48" s="4">
        <f t="shared" si="56"/>
        <v>0.4746</v>
      </c>
      <c r="S48" s="4">
        <f t="shared" si="56"/>
        <v>1.0001</v>
      </c>
      <c r="T48" s="4">
        <f t="shared" si="56"/>
        <v>0.5293</v>
      </c>
      <c r="U48" s="4">
        <f t="shared" si="56"/>
        <v>0.0822</v>
      </c>
      <c r="V48" s="4">
        <f t="shared" si="56"/>
        <v>0.9837</v>
      </c>
      <c r="W48" s="4">
        <f t="shared" si="56"/>
        <v>0.9965</v>
      </c>
      <c r="X48" s="4">
        <f t="shared" si="56"/>
        <v>0.9636</v>
      </c>
    </row>
    <row r="49" spans="12:24">
      <c r="L49" s="4"/>
      <c r="M49" s="4"/>
      <c r="N49" s="4"/>
      <c r="O49" s="4">
        <f t="shared" ref="O49:X49" si="57">ROUND(O24,4)+0.0001</f>
        <v>0.0835</v>
      </c>
      <c r="P49" s="4">
        <f t="shared" si="57"/>
        <v>0.3576</v>
      </c>
      <c r="Q49" s="4">
        <f t="shared" si="57"/>
        <v>0.1889</v>
      </c>
      <c r="R49" s="4">
        <f t="shared" si="57"/>
        <v>0.0001</v>
      </c>
      <c r="S49" s="4">
        <f t="shared" si="57"/>
        <v>0.4451</v>
      </c>
      <c r="T49" s="4">
        <f t="shared" si="57"/>
        <v>0.5001</v>
      </c>
      <c r="U49" s="4">
        <f t="shared" si="57"/>
        <v>0.4589</v>
      </c>
      <c r="V49" s="4">
        <f t="shared" si="57"/>
        <v>0.617</v>
      </c>
      <c r="W49" s="4">
        <f t="shared" si="57"/>
        <v>1.0001</v>
      </c>
      <c r="X49" s="4">
        <f t="shared" si="57"/>
        <v>0.7237</v>
      </c>
    </row>
  </sheetData>
  <pageMargins left="0.75" right="0.75" top="1" bottom="1" header="0.5" footer="0.5"/>
  <headerFooter/>
  <ignoredErrors>
    <ignoredError sqref="A17:X22 C16:X16 A15:A16 A1:X14 L15:X15 A23:A24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9"/>
  <sheetViews>
    <sheetView workbookViewId="0">
      <selection activeCell="K32" sqref="K32"/>
    </sheetView>
  </sheetViews>
  <sheetFormatPr defaultColWidth="9" defaultRowHeight="13.5"/>
  <cols>
    <col min="1" max="1" width="31.6283185840708" customWidth="1"/>
  </cols>
  <sheetData>
    <row r="1" spans="1:24">
      <c r="A1" s="218" t="s">
        <v>0</v>
      </c>
      <c r="B1" s="218">
        <v>2014</v>
      </c>
      <c r="C1" s="218">
        <v>2015</v>
      </c>
      <c r="D1" s="218">
        <v>2016</v>
      </c>
      <c r="E1" s="218">
        <v>2017</v>
      </c>
      <c r="F1" s="218">
        <v>2018</v>
      </c>
      <c r="G1" s="218">
        <v>2019</v>
      </c>
      <c r="H1" s="218">
        <v>2020</v>
      </c>
      <c r="I1" s="218">
        <v>2021</v>
      </c>
      <c r="J1" s="4">
        <v>2022</v>
      </c>
      <c r="K1" s="4">
        <v>2023</v>
      </c>
      <c r="L1" s="4" t="s">
        <v>2</v>
      </c>
      <c r="M1" s="219" t="s">
        <v>3</v>
      </c>
      <c r="N1" s="4" t="s">
        <v>4</v>
      </c>
      <c r="O1" s="4">
        <v>2014</v>
      </c>
      <c r="P1" s="4">
        <v>2015</v>
      </c>
      <c r="Q1" s="4">
        <v>2016</v>
      </c>
      <c r="R1" s="4">
        <v>2017</v>
      </c>
      <c r="S1" s="4">
        <v>2018</v>
      </c>
      <c r="T1" s="4">
        <v>2019</v>
      </c>
      <c r="U1" s="4">
        <v>2020</v>
      </c>
      <c r="V1" s="4">
        <v>2021</v>
      </c>
      <c r="W1" s="4">
        <v>2022</v>
      </c>
      <c r="X1" s="4">
        <v>2023</v>
      </c>
    </row>
    <row r="2" ht="15.75" spans="1:24">
      <c r="A2" s="220" t="s">
        <v>5</v>
      </c>
      <c r="B2" s="4">
        <v>7655.58</v>
      </c>
      <c r="C2" s="4">
        <v>7731.64</v>
      </c>
      <c r="D2" s="4">
        <v>6810.2</v>
      </c>
      <c r="E2" s="4">
        <v>5391.76</v>
      </c>
      <c r="F2" s="4">
        <v>7668.48</v>
      </c>
      <c r="G2" s="4">
        <v>7002</v>
      </c>
      <c r="H2" s="4">
        <v>7030</v>
      </c>
      <c r="I2" s="4">
        <v>7826</v>
      </c>
      <c r="J2" s="4">
        <v>8431</v>
      </c>
      <c r="K2" s="40">
        <v>8753</v>
      </c>
      <c r="L2" s="4">
        <f t="shared" ref="L2:L11" si="0">MAX(B2:K2)</f>
        <v>8753</v>
      </c>
      <c r="M2" s="4">
        <f t="shared" ref="M2:M11" si="1">MIN(B2:K2)</f>
        <v>5391.76</v>
      </c>
      <c r="N2" s="4">
        <f t="shared" ref="N2:N11" si="2">L2-M2</f>
        <v>3361.24</v>
      </c>
      <c r="O2" s="4">
        <f t="shared" ref="O2:O11" si="3">(B2-M2)/N2</f>
        <v>0.673507396080018</v>
      </c>
      <c r="P2" s="4">
        <f t="shared" ref="P2:P11" si="4">(C2-M2)/N2</f>
        <v>0.69613594982804</v>
      </c>
      <c r="Q2" s="4">
        <f t="shared" ref="Q2:Q11" si="5">(D2-M2)/N2</f>
        <v>0.421999024169652</v>
      </c>
      <c r="R2" s="4">
        <f t="shared" ref="R2:R11" si="6">(E2-M2)/N2</f>
        <v>0</v>
      </c>
      <c r="S2" s="4">
        <f t="shared" ref="S2:S11" si="7">(F2-M2)/N2</f>
        <v>0.677345265437755</v>
      </c>
      <c r="T2" s="4">
        <f t="shared" ref="T2:T11" si="8">(G2-M2)/N2</f>
        <v>0.479061298806393</v>
      </c>
      <c r="U2" s="4">
        <f t="shared" ref="U2:U11" si="9">(H2-M2)/N2</f>
        <v>0.48739155787745</v>
      </c>
      <c r="V2" s="4">
        <f t="shared" ref="V2:V11" si="10">(I2-M2)/N2</f>
        <v>0.724208922897502</v>
      </c>
      <c r="W2" s="4">
        <f t="shared" ref="W2:W11" si="11">(J2-M2)/N2</f>
        <v>0.904202020682843</v>
      </c>
      <c r="X2" s="4">
        <f t="shared" ref="X2:X11" si="12">(K2-M2)/N2</f>
        <v>1</v>
      </c>
    </row>
    <row r="3" ht="15.75" spans="1:24">
      <c r="A3" s="220" t="s">
        <v>7</v>
      </c>
      <c r="B3" s="4">
        <v>698</v>
      </c>
      <c r="C3" s="4">
        <v>698</v>
      </c>
      <c r="D3" s="4">
        <v>698</v>
      </c>
      <c r="E3" s="4">
        <v>698</v>
      </c>
      <c r="F3" s="4">
        <v>698</v>
      </c>
      <c r="G3" s="4">
        <v>698</v>
      </c>
      <c r="H3" s="4">
        <v>745</v>
      </c>
      <c r="I3" s="4">
        <v>745</v>
      </c>
      <c r="J3" s="4">
        <v>745</v>
      </c>
      <c r="K3" s="4">
        <v>754</v>
      </c>
      <c r="L3" s="4">
        <f t="shared" si="0"/>
        <v>754</v>
      </c>
      <c r="M3" s="4">
        <f t="shared" si="1"/>
        <v>698</v>
      </c>
      <c r="N3" s="4">
        <f t="shared" si="2"/>
        <v>56</v>
      </c>
      <c r="O3" s="4">
        <f t="shared" si="3"/>
        <v>0</v>
      </c>
      <c r="P3" s="4">
        <f t="shared" si="4"/>
        <v>0</v>
      </c>
      <c r="Q3" s="4">
        <f t="shared" si="5"/>
        <v>0</v>
      </c>
      <c r="R3" s="4">
        <f t="shared" si="6"/>
        <v>0</v>
      </c>
      <c r="S3" s="4">
        <f t="shared" si="7"/>
        <v>0</v>
      </c>
      <c r="T3" s="4">
        <f t="shared" si="8"/>
        <v>0</v>
      </c>
      <c r="U3" s="4">
        <f t="shared" si="9"/>
        <v>0.839285714285714</v>
      </c>
      <c r="V3" s="4">
        <f t="shared" si="10"/>
        <v>0.839285714285714</v>
      </c>
      <c r="W3" s="4">
        <f t="shared" si="11"/>
        <v>0.839285714285714</v>
      </c>
      <c r="X3" s="4">
        <f t="shared" si="12"/>
        <v>1</v>
      </c>
    </row>
    <row r="4" ht="15.75" spans="1:24">
      <c r="A4" s="220" t="s">
        <v>8</v>
      </c>
      <c r="B4" s="4">
        <v>402.41</v>
      </c>
      <c r="C4" s="4">
        <v>401.72</v>
      </c>
      <c r="D4" s="4">
        <v>404.72</v>
      </c>
      <c r="E4" s="4">
        <v>403.37</v>
      </c>
      <c r="F4" s="4">
        <v>382.97</v>
      </c>
      <c r="G4" s="4">
        <v>374.15</v>
      </c>
      <c r="H4" s="4">
        <v>352.89</v>
      </c>
      <c r="I4" s="4">
        <v>284.68</v>
      </c>
      <c r="J4" s="4">
        <v>362.34</v>
      </c>
      <c r="K4" s="4">
        <v>356.85</v>
      </c>
      <c r="L4" s="4">
        <f t="shared" si="0"/>
        <v>404.72</v>
      </c>
      <c r="M4" s="4">
        <f t="shared" si="1"/>
        <v>284.68</v>
      </c>
      <c r="N4" s="4">
        <f t="shared" si="2"/>
        <v>120.04</v>
      </c>
      <c r="O4" s="4">
        <f>(L4-B4)/N4</f>
        <v>0.0192435854715095</v>
      </c>
      <c r="P4" s="4">
        <f>(L4-C4)/N4</f>
        <v>0.0249916694435188</v>
      </c>
      <c r="Q4" s="4">
        <f>(L4-D4)/N4</f>
        <v>0</v>
      </c>
      <c r="R4" s="4">
        <f>(L4-E4)/N4</f>
        <v>0.0112462512495837</v>
      </c>
      <c r="S4" s="4">
        <f>(L4-F4)/N4</f>
        <v>0.181189603465511</v>
      </c>
      <c r="T4" s="4">
        <f>(L4-G4)/N4</f>
        <v>0.254665111629457</v>
      </c>
      <c r="U4" s="4">
        <f>(L4-H4)/N4</f>
        <v>0.431772742419194</v>
      </c>
      <c r="V4" s="4">
        <f>(L4-I4)/N4</f>
        <v>1</v>
      </c>
      <c r="W4" s="4">
        <f>(L4-J4)/N4</f>
        <v>0.35304898367211</v>
      </c>
      <c r="X4" s="4">
        <f>(L4-K4)/N4</f>
        <v>0.398783738753749</v>
      </c>
    </row>
    <row r="5" ht="15.75" spans="1:24">
      <c r="A5" s="220" t="s">
        <v>10</v>
      </c>
      <c r="B5" s="4">
        <v>0.61</v>
      </c>
      <c r="C5" s="4">
        <v>0.61</v>
      </c>
      <c r="D5" s="4">
        <v>0.54</v>
      </c>
      <c r="E5" s="4">
        <v>0.43</v>
      </c>
      <c r="F5" s="4">
        <v>0.58</v>
      </c>
      <c r="G5" s="4">
        <v>0.51</v>
      </c>
      <c r="H5" s="4">
        <v>0.51</v>
      </c>
      <c r="I5" s="4">
        <v>0.57</v>
      </c>
      <c r="J5" s="4">
        <v>0.61</v>
      </c>
      <c r="K5" s="4">
        <v>0.64</v>
      </c>
      <c r="L5" s="4">
        <f t="shared" si="0"/>
        <v>0.64</v>
      </c>
      <c r="M5" s="4">
        <f t="shared" si="1"/>
        <v>0.43</v>
      </c>
      <c r="N5" s="4">
        <f t="shared" si="2"/>
        <v>0.21</v>
      </c>
      <c r="O5" s="4">
        <f t="shared" si="3"/>
        <v>0.857142857142857</v>
      </c>
      <c r="P5" s="4">
        <f t="shared" si="4"/>
        <v>0.857142857142857</v>
      </c>
      <c r="Q5" s="4">
        <f t="shared" si="5"/>
        <v>0.523809523809524</v>
      </c>
      <c r="R5" s="4">
        <f t="shared" si="6"/>
        <v>0</v>
      </c>
      <c r="S5" s="4">
        <f t="shared" si="7"/>
        <v>0.714285714285714</v>
      </c>
      <c r="T5" s="4">
        <f t="shared" si="8"/>
        <v>0.380952380952381</v>
      </c>
      <c r="U5" s="4">
        <f t="shared" si="9"/>
        <v>0.380952380952381</v>
      </c>
      <c r="V5" s="4">
        <f t="shared" si="10"/>
        <v>0.666666666666666</v>
      </c>
      <c r="W5" s="4">
        <f t="shared" si="11"/>
        <v>0.857142857142857</v>
      </c>
      <c r="X5" s="4">
        <f t="shared" si="12"/>
        <v>1</v>
      </c>
    </row>
    <row r="6" ht="15.75" spans="1:24">
      <c r="A6" s="220" t="s">
        <v>11</v>
      </c>
      <c r="B6" s="4">
        <v>11187.17</v>
      </c>
      <c r="C6" s="4">
        <v>8308.21</v>
      </c>
      <c r="D6" s="4">
        <v>8766.54</v>
      </c>
      <c r="E6" s="4">
        <v>9421.73</v>
      </c>
      <c r="F6" s="4">
        <v>10085.75</v>
      </c>
      <c r="G6" s="4">
        <v>9926.07</v>
      </c>
      <c r="H6" s="4">
        <v>9431.97</v>
      </c>
      <c r="I6" s="4">
        <v>7608.88</v>
      </c>
      <c r="J6" s="4">
        <v>8990.15</v>
      </c>
      <c r="K6" s="4">
        <v>9950.08</v>
      </c>
      <c r="L6" s="4">
        <f t="shared" si="0"/>
        <v>11187.17</v>
      </c>
      <c r="M6" s="4">
        <f t="shared" si="1"/>
        <v>7608.88</v>
      </c>
      <c r="N6" s="4">
        <f t="shared" si="2"/>
        <v>3578.29</v>
      </c>
      <c r="O6" s="4">
        <f t="shared" si="3"/>
        <v>1</v>
      </c>
      <c r="P6" s="4">
        <f t="shared" si="4"/>
        <v>0.195436926576661</v>
      </c>
      <c r="Q6" s="4">
        <f t="shared" si="5"/>
        <v>0.323523247137599</v>
      </c>
      <c r="R6" s="4">
        <f t="shared" si="6"/>
        <v>0.506624672678849</v>
      </c>
      <c r="S6" s="4">
        <f t="shared" si="7"/>
        <v>0.692193757353373</v>
      </c>
      <c r="T6" s="4">
        <f t="shared" si="8"/>
        <v>0.647569090263785</v>
      </c>
      <c r="U6" s="4">
        <f t="shared" si="9"/>
        <v>0.509486374776779</v>
      </c>
      <c r="V6" s="4">
        <f t="shared" si="10"/>
        <v>0</v>
      </c>
      <c r="W6" s="4">
        <f t="shared" si="11"/>
        <v>0.386013989922561</v>
      </c>
      <c r="X6" s="4">
        <f t="shared" si="12"/>
        <v>0.654278999186762</v>
      </c>
    </row>
    <row r="7" ht="15.75" spans="1:24">
      <c r="A7" s="220" t="s">
        <v>12</v>
      </c>
      <c r="B7" s="4">
        <v>6773.63</v>
      </c>
      <c r="C7" s="4">
        <v>4559.28</v>
      </c>
      <c r="D7" s="4">
        <v>1436.36</v>
      </c>
      <c r="E7" s="4">
        <v>1652.8</v>
      </c>
      <c r="F7" s="4">
        <v>1819.7</v>
      </c>
      <c r="G7" s="4">
        <v>1460.4</v>
      </c>
      <c r="H7" s="4">
        <v>1461.5</v>
      </c>
      <c r="I7" s="4">
        <v>1475.4</v>
      </c>
      <c r="J7" s="4">
        <v>1571.3</v>
      </c>
      <c r="K7" s="4">
        <v>1580.9</v>
      </c>
      <c r="L7" s="4">
        <f t="shared" si="0"/>
        <v>6773.63</v>
      </c>
      <c r="M7" s="4">
        <f t="shared" si="1"/>
        <v>1436.36</v>
      </c>
      <c r="N7" s="4">
        <f t="shared" si="2"/>
        <v>5337.27</v>
      </c>
      <c r="O7" s="4">
        <f t="shared" si="3"/>
        <v>1</v>
      </c>
      <c r="P7" s="4">
        <f t="shared" si="4"/>
        <v>0.585115611539233</v>
      </c>
      <c r="Q7" s="4">
        <f t="shared" si="5"/>
        <v>0</v>
      </c>
      <c r="R7" s="4">
        <f t="shared" si="6"/>
        <v>0.0405525671363825</v>
      </c>
      <c r="S7" s="4">
        <f t="shared" si="7"/>
        <v>0.0718232354743155</v>
      </c>
      <c r="T7" s="4">
        <f t="shared" si="8"/>
        <v>0.00450417535556571</v>
      </c>
      <c r="U7" s="4">
        <f t="shared" si="9"/>
        <v>0.00471027322957244</v>
      </c>
      <c r="V7" s="4">
        <f t="shared" si="10"/>
        <v>0.00731460091020319</v>
      </c>
      <c r="W7" s="4">
        <f t="shared" si="11"/>
        <v>0.0252825882895188</v>
      </c>
      <c r="X7" s="4">
        <f t="shared" si="12"/>
        <v>0.0270812606444868</v>
      </c>
    </row>
    <row r="8" ht="15.75" spans="1:24">
      <c r="A8" s="220" t="s">
        <v>13</v>
      </c>
      <c r="B8" s="4">
        <v>40521.83</v>
      </c>
      <c r="C8" s="4">
        <v>44233.52</v>
      </c>
      <c r="D8" s="4">
        <v>48855.66</v>
      </c>
      <c r="E8" s="4">
        <v>53330.96</v>
      </c>
      <c r="F8" s="4">
        <v>55588.16</v>
      </c>
      <c r="G8" s="4">
        <v>56571.64</v>
      </c>
      <c r="H8" s="4">
        <v>24536.85</v>
      </c>
      <c r="I8" s="4">
        <v>19794.16</v>
      </c>
      <c r="J8" s="4">
        <v>24790.69</v>
      </c>
      <c r="K8" s="4">
        <v>26638.66</v>
      </c>
      <c r="L8" s="4">
        <f t="shared" si="0"/>
        <v>56571.64</v>
      </c>
      <c r="M8" s="4">
        <f t="shared" si="1"/>
        <v>19794.16</v>
      </c>
      <c r="N8" s="4">
        <f t="shared" si="2"/>
        <v>36777.48</v>
      </c>
      <c r="O8" s="4">
        <f t="shared" si="3"/>
        <v>0.563596798910638</v>
      </c>
      <c r="P8" s="4">
        <f t="shared" si="4"/>
        <v>0.664519700642893</v>
      </c>
      <c r="Q8" s="4">
        <f t="shared" si="5"/>
        <v>0.790198240880017</v>
      </c>
      <c r="R8" s="4">
        <f t="shared" si="6"/>
        <v>0.911884120391066</v>
      </c>
      <c r="S8" s="4">
        <f t="shared" si="7"/>
        <v>0.973258635447562</v>
      </c>
      <c r="T8" s="4">
        <f t="shared" si="8"/>
        <v>1</v>
      </c>
      <c r="U8" s="4">
        <f t="shared" si="9"/>
        <v>0.128956361338515</v>
      </c>
      <c r="V8" s="4">
        <f t="shared" si="10"/>
        <v>0</v>
      </c>
      <c r="W8" s="4">
        <f t="shared" si="11"/>
        <v>0.135858411179885</v>
      </c>
      <c r="X8" s="4">
        <f t="shared" si="12"/>
        <v>0.186105736445238</v>
      </c>
    </row>
    <row r="9" ht="15.75" spans="1:24">
      <c r="A9" s="220" t="s">
        <v>14</v>
      </c>
      <c r="B9" s="4">
        <v>94.23</v>
      </c>
      <c r="C9" s="4">
        <v>94.14</v>
      </c>
      <c r="D9" s="4">
        <v>93.2</v>
      </c>
      <c r="E9" s="4">
        <v>97.07</v>
      </c>
      <c r="F9" s="4">
        <v>94.23</v>
      </c>
      <c r="G9" s="4">
        <v>93.45</v>
      </c>
      <c r="H9" s="4">
        <v>93.47</v>
      </c>
      <c r="I9" s="4">
        <v>93.44</v>
      </c>
      <c r="J9" s="4">
        <v>93.32</v>
      </c>
      <c r="K9" s="4">
        <v>93.19</v>
      </c>
      <c r="L9" s="4">
        <f t="shared" si="0"/>
        <v>97.07</v>
      </c>
      <c r="M9" s="4">
        <f t="shared" si="1"/>
        <v>93.19</v>
      </c>
      <c r="N9" s="4">
        <f t="shared" si="2"/>
        <v>3.88</v>
      </c>
      <c r="O9" s="4">
        <f t="shared" si="3"/>
        <v>0.268041237113404</v>
      </c>
      <c r="P9" s="4">
        <f t="shared" si="4"/>
        <v>0.244845360824743</v>
      </c>
      <c r="Q9" s="4">
        <f t="shared" si="5"/>
        <v>0.00257731958763019</v>
      </c>
      <c r="R9" s="4">
        <f t="shared" si="6"/>
        <v>1</v>
      </c>
      <c r="S9" s="4">
        <f t="shared" si="7"/>
        <v>0.268041237113404</v>
      </c>
      <c r="T9" s="4">
        <f t="shared" si="8"/>
        <v>0.0670103092783519</v>
      </c>
      <c r="U9" s="4">
        <f t="shared" si="9"/>
        <v>0.0721649484536086</v>
      </c>
      <c r="V9" s="4">
        <f t="shared" si="10"/>
        <v>0.0644329896907217</v>
      </c>
      <c r="W9" s="4">
        <f t="shared" si="11"/>
        <v>0.0335051546391741</v>
      </c>
      <c r="X9" s="4">
        <f t="shared" si="12"/>
        <v>0</v>
      </c>
    </row>
    <row r="10" ht="15.75" spans="1:24">
      <c r="A10" s="220" t="s">
        <v>15</v>
      </c>
      <c r="B10" s="4">
        <v>50.92</v>
      </c>
      <c r="C10" s="4">
        <v>50.84</v>
      </c>
      <c r="D10" s="4">
        <v>50.74</v>
      </c>
      <c r="E10" s="4">
        <v>50.54</v>
      </c>
      <c r="F10" s="4">
        <v>50.21</v>
      </c>
      <c r="G10" s="4">
        <v>50.02</v>
      </c>
      <c r="H10" s="4">
        <v>49.89</v>
      </c>
      <c r="I10" s="4">
        <v>49.78</v>
      </c>
      <c r="J10" s="4">
        <v>49.33</v>
      </c>
      <c r="K10" s="4">
        <v>49.07</v>
      </c>
      <c r="L10" s="4">
        <f t="shared" si="0"/>
        <v>50.92</v>
      </c>
      <c r="M10" s="4">
        <f t="shared" si="1"/>
        <v>49.07</v>
      </c>
      <c r="N10" s="4">
        <f t="shared" si="2"/>
        <v>1.85</v>
      </c>
      <c r="O10" s="4">
        <f t="shared" si="3"/>
        <v>1</v>
      </c>
      <c r="P10" s="4">
        <f t="shared" si="4"/>
        <v>0.956756756756758</v>
      </c>
      <c r="Q10" s="4">
        <f t="shared" si="5"/>
        <v>0.902702702702703</v>
      </c>
      <c r="R10" s="4">
        <f t="shared" si="6"/>
        <v>0.794594594594593</v>
      </c>
      <c r="S10" s="4">
        <f t="shared" si="7"/>
        <v>0.616216216216216</v>
      </c>
      <c r="T10" s="4">
        <f t="shared" si="8"/>
        <v>0.513513513513515</v>
      </c>
      <c r="U10" s="4">
        <f t="shared" si="9"/>
        <v>0.443243243243243</v>
      </c>
      <c r="V10" s="4">
        <f t="shared" si="10"/>
        <v>0.383783783783784</v>
      </c>
      <c r="W10" s="4">
        <f t="shared" si="11"/>
        <v>0.140540540540539</v>
      </c>
      <c r="X10" s="4">
        <f t="shared" si="12"/>
        <v>0</v>
      </c>
    </row>
    <row r="11" ht="15.75" spans="1:24">
      <c r="A11" s="220" t="s">
        <v>16</v>
      </c>
      <c r="B11" s="4">
        <v>18.39</v>
      </c>
      <c r="C11" s="4">
        <v>18.65</v>
      </c>
      <c r="D11" s="4">
        <v>18.86</v>
      </c>
      <c r="E11" s="4">
        <v>19.08</v>
      </c>
      <c r="F11" s="4">
        <v>19.37</v>
      </c>
      <c r="G11" s="42">
        <v>19.5</v>
      </c>
      <c r="H11" s="4">
        <v>19.59</v>
      </c>
      <c r="I11" s="4">
        <v>19.63</v>
      </c>
      <c r="J11" s="4">
        <v>19.64</v>
      </c>
      <c r="K11" s="42">
        <v>19.7</v>
      </c>
      <c r="L11" s="4">
        <f t="shared" si="0"/>
        <v>19.7</v>
      </c>
      <c r="M11" s="4">
        <f t="shared" si="1"/>
        <v>18.39</v>
      </c>
      <c r="N11" s="4">
        <f t="shared" si="2"/>
        <v>1.31</v>
      </c>
      <c r="O11" s="4">
        <f t="shared" si="3"/>
        <v>0</v>
      </c>
      <c r="P11" s="4">
        <f t="shared" si="4"/>
        <v>0.198473282442747</v>
      </c>
      <c r="Q11" s="4">
        <f t="shared" si="5"/>
        <v>0.358778625954198</v>
      </c>
      <c r="R11" s="4">
        <f t="shared" si="6"/>
        <v>0.526717557251907</v>
      </c>
      <c r="S11" s="4">
        <f t="shared" si="7"/>
        <v>0.748091603053436</v>
      </c>
      <c r="T11" s="4">
        <f t="shared" si="8"/>
        <v>0.84732824427481</v>
      </c>
      <c r="U11" s="4">
        <f t="shared" si="9"/>
        <v>0.916030534351145</v>
      </c>
      <c r="V11" s="4">
        <f t="shared" si="10"/>
        <v>0.946564885496183</v>
      </c>
      <c r="W11" s="4">
        <f t="shared" si="11"/>
        <v>0.954198473282444</v>
      </c>
      <c r="X11" s="4">
        <f t="shared" si="12"/>
        <v>1</v>
      </c>
    </row>
    <row r="12" spans="1:24">
      <c r="A12" s="218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A13" s="218" t="s">
        <v>17</v>
      </c>
      <c r="B13" s="4">
        <v>1.53</v>
      </c>
      <c r="C13" s="4">
        <v>1.47</v>
      </c>
      <c r="D13" s="4">
        <v>1.53</v>
      </c>
      <c r="E13" s="4">
        <v>1.52</v>
      </c>
      <c r="F13" s="4">
        <v>1.57</v>
      </c>
      <c r="G13" s="4">
        <v>1.45</v>
      </c>
      <c r="H13" s="4">
        <v>1.44</v>
      </c>
      <c r="I13" s="4">
        <v>1.39</v>
      </c>
      <c r="J13" s="4">
        <v>1.32</v>
      </c>
      <c r="K13" s="4">
        <v>1.24</v>
      </c>
      <c r="L13" s="4">
        <f t="shared" ref="L13:L24" si="13">MAX(B13:K13)</f>
        <v>1.57</v>
      </c>
      <c r="M13" s="4">
        <f t="shared" ref="M13:M24" si="14">MIN(B13:K13)</f>
        <v>1.24</v>
      </c>
      <c r="N13" s="4">
        <f t="shared" ref="N13:N24" si="15">L13-M13</f>
        <v>0.33</v>
      </c>
      <c r="O13" s="4">
        <f t="shared" ref="O13:O18" si="16">(B13-M13)/N13</f>
        <v>0.878787878787879</v>
      </c>
      <c r="P13" s="4">
        <f t="shared" ref="P13:P18" si="17">(C13-M13)/N13</f>
        <v>0.696969696969697</v>
      </c>
      <c r="Q13" s="4">
        <f t="shared" ref="Q13:Q18" si="18">(D13-M13)/N13</f>
        <v>0.878787878787879</v>
      </c>
      <c r="R13" s="4">
        <f t="shared" ref="R13:R18" si="19">(E13-M13)/N13</f>
        <v>0.848484848484848</v>
      </c>
      <c r="S13" s="4">
        <f t="shared" ref="S13:S18" si="20">(F13-M13)/N13</f>
        <v>1</v>
      </c>
      <c r="T13" s="4">
        <f t="shared" ref="T13:T18" si="21">(G13-M13)/N13</f>
        <v>0.636363636363636</v>
      </c>
      <c r="U13" s="4">
        <f t="shared" ref="U13:U18" si="22">(H13-M13)/N13</f>
        <v>0.606060606060606</v>
      </c>
      <c r="V13" s="4">
        <f t="shared" ref="V13:V18" si="23">(I13-M13)/N13</f>
        <v>0.454545454545454</v>
      </c>
      <c r="W13" s="4">
        <f t="shared" ref="W13:W18" si="24">(J13-M13)/N13</f>
        <v>0.242424242424243</v>
      </c>
      <c r="X13" s="4">
        <f t="shared" ref="X13:X18" si="25">(K13-M13)/N13</f>
        <v>0</v>
      </c>
    </row>
    <row r="14" ht="15.75" spans="1:24">
      <c r="A14" s="220" t="s">
        <v>18</v>
      </c>
      <c r="B14" s="4">
        <v>24.6</v>
      </c>
      <c r="C14" s="4">
        <v>24.59</v>
      </c>
      <c r="D14" s="4">
        <v>24.48</v>
      </c>
      <c r="E14" s="4">
        <v>24.52</v>
      </c>
      <c r="F14" s="4">
        <v>24.61</v>
      </c>
      <c r="G14" s="4">
        <v>24.76</v>
      </c>
      <c r="H14" s="4">
        <v>24.82</v>
      </c>
      <c r="I14" s="4">
        <v>24.92</v>
      </c>
      <c r="J14" s="4">
        <v>25.29</v>
      </c>
      <c r="K14" s="4">
        <v>25.57</v>
      </c>
      <c r="L14" s="4">
        <f t="shared" si="13"/>
        <v>25.57</v>
      </c>
      <c r="M14" s="4">
        <f t="shared" si="14"/>
        <v>24.48</v>
      </c>
      <c r="N14" s="4">
        <f t="shared" si="15"/>
        <v>1.09</v>
      </c>
      <c r="O14" s="4">
        <f t="shared" si="16"/>
        <v>0.110091743119267</v>
      </c>
      <c r="P14" s="4">
        <f t="shared" si="17"/>
        <v>0.10091743119266</v>
      </c>
      <c r="Q14" s="4">
        <f t="shared" si="18"/>
        <v>0</v>
      </c>
      <c r="R14" s="4">
        <f t="shared" si="19"/>
        <v>0.0366972477064212</v>
      </c>
      <c r="S14" s="4">
        <f t="shared" si="20"/>
        <v>0.119266055045871</v>
      </c>
      <c r="T14" s="4">
        <f t="shared" si="21"/>
        <v>0.256880733944955</v>
      </c>
      <c r="U14" s="4">
        <f t="shared" si="22"/>
        <v>0.311926605504587</v>
      </c>
      <c r="V14" s="4">
        <f t="shared" si="23"/>
        <v>0.403669724770643</v>
      </c>
      <c r="W14" s="4">
        <f t="shared" si="24"/>
        <v>0.743119266055045</v>
      </c>
      <c r="X14" s="4">
        <f t="shared" si="25"/>
        <v>1</v>
      </c>
    </row>
    <row r="15" spans="1:24">
      <c r="A15" s="218" t="s">
        <v>19</v>
      </c>
      <c r="B15" s="41">
        <v>0.0295</v>
      </c>
      <c r="C15" s="41">
        <v>0.0299</v>
      </c>
      <c r="D15" s="41">
        <v>0.0284</v>
      </c>
      <c r="E15" s="41">
        <v>0.0267</v>
      </c>
      <c r="F15" s="41">
        <v>0.0248</v>
      </c>
      <c r="G15" s="41">
        <v>0.023</v>
      </c>
      <c r="H15" s="41">
        <v>0.0208</v>
      </c>
      <c r="I15" s="41">
        <v>0.0194</v>
      </c>
      <c r="J15" s="41">
        <v>0.0147</v>
      </c>
      <c r="K15" s="41">
        <v>0.0125</v>
      </c>
      <c r="L15" s="4">
        <f t="shared" si="13"/>
        <v>0.0299</v>
      </c>
      <c r="M15" s="4">
        <f t="shared" si="14"/>
        <v>0.0125</v>
      </c>
      <c r="N15" s="4">
        <f t="shared" si="15"/>
        <v>0.0174</v>
      </c>
      <c r="O15" s="4">
        <f t="shared" si="16"/>
        <v>0.977011494252873</v>
      </c>
      <c r="P15" s="4">
        <f t="shared" si="17"/>
        <v>1</v>
      </c>
      <c r="Q15" s="4">
        <f t="shared" si="18"/>
        <v>0.913793103448276</v>
      </c>
      <c r="R15" s="4">
        <f t="shared" si="19"/>
        <v>0.816091954022989</v>
      </c>
      <c r="S15" s="4">
        <f t="shared" si="20"/>
        <v>0.706896551724138</v>
      </c>
      <c r="T15" s="4">
        <f t="shared" si="21"/>
        <v>0.603448275862069</v>
      </c>
      <c r="U15" s="4">
        <f t="shared" si="22"/>
        <v>0.477011494252873</v>
      </c>
      <c r="V15" s="4">
        <f t="shared" si="23"/>
        <v>0.396551724137931</v>
      </c>
      <c r="W15" s="4">
        <f t="shared" si="24"/>
        <v>0.126436781609195</v>
      </c>
      <c r="X15" s="4">
        <f t="shared" si="25"/>
        <v>0</v>
      </c>
    </row>
    <row r="16" spans="1:24">
      <c r="A16" s="218" t="s">
        <v>20</v>
      </c>
      <c r="B16" s="4">
        <v>44.78</v>
      </c>
      <c r="C16" s="4">
        <v>44.87</v>
      </c>
      <c r="D16" s="4">
        <v>44.89</v>
      </c>
      <c r="E16" s="4">
        <v>46.56</v>
      </c>
      <c r="F16" s="4">
        <v>46.67</v>
      </c>
      <c r="G16" s="4">
        <v>44</v>
      </c>
      <c r="H16" s="4">
        <v>45.34</v>
      </c>
      <c r="I16" s="4">
        <v>45.42</v>
      </c>
      <c r="J16" s="4">
        <v>45.89</v>
      </c>
      <c r="K16" s="4">
        <v>44.6</v>
      </c>
      <c r="L16" s="4">
        <f t="shared" si="13"/>
        <v>46.67</v>
      </c>
      <c r="M16" s="4">
        <f t="shared" si="14"/>
        <v>44</v>
      </c>
      <c r="N16" s="4">
        <f t="shared" si="15"/>
        <v>2.67</v>
      </c>
      <c r="O16" s="4">
        <f t="shared" si="16"/>
        <v>0.292134831460674</v>
      </c>
      <c r="P16" s="4">
        <f t="shared" si="17"/>
        <v>0.325842696629212</v>
      </c>
      <c r="Q16" s="4">
        <f t="shared" si="18"/>
        <v>0.333333333333333</v>
      </c>
      <c r="R16" s="4">
        <f t="shared" si="19"/>
        <v>0.958801498127341</v>
      </c>
      <c r="S16" s="4">
        <f t="shared" si="20"/>
        <v>1</v>
      </c>
      <c r="T16" s="4">
        <f t="shared" si="21"/>
        <v>0</v>
      </c>
      <c r="U16" s="4">
        <f t="shared" si="22"/>
        <v>0.501872659176031</v>
      </c>
      <c r="V16" s="4">
        <f t="shared" si="23"/>
        <v>0.53183520599251</v>
      </c>
      <c r="W16" s="4">
        <f t="shared" si="24"/>
        <v>0.707865168539326</v>
      </c>
      <c r="X16" s="4">
        <f t="shared" si="25"/>
        <v>0.224719101123596</v>
      </c>
    </row>
    <row r="17" spans="1:24">
      <c r="A17" s="218" t="s">
        <v>21</v>
      </c>
      <c r="B17" s="4">
        <v>5.24</v>
      </c>
      <c r="C17" s="4">
        <v>5.26</v>
      </c>
      <c r="D17" s="4">
        <v>5.25</v>
      </c>
      <c r="E17" s="4">
        <v>5.81</v>
      </c>
      <c r="F17" s="4">
        <v>5.86</v>
      </c>
      <c r="G17">
        <v>5.9</v>
      </c>
      <c r="H17" s="4">
        <v>5.94</v>
      </c>
      <c r="I17" s="4">
        <v>4.79</v>
      </c>
      <c r="J17" s="4">
        <v>7.3</v>
      </c>
      <c r="K17" s="4">
        <v>8.92</v>
      </c>
      <c r="L17" s="4">
        <f t="shared" si="13"/>
        <v>8.92</v>
      </c>
      <c r="M17" s="4">
        <f t="shared" si="14"/>
        <v>4.79</v>
      </c>
      <c r="N17" s="4">
        <f t="shared" si="15"/>
        <v>4.13</v>
      </c>
      <c r="O17" s="4">
        <f t="shared" si="16"/>
        <v>0.108958837772397</v>
      </c>
      <c r="P17" s="4">
        <f t="shared" si="17"/>
        <v>0.113801452784504</v>
      </c>
      <c r="Q17" s="4">
        <f t="shared" si="18"/>
        <v>0.11138014527845</v>
      </c>
      <c r="R17" s="4">
        <f t="shared" si="19"/>
        <v>0.246973365617433</v>
      </c>
      <c r="S17" s="4">
        <f t="shared" si="20"/>
        <v>0.2590799031477</v>
      </c>
      <c r="T17" s="4">
        <f t="shared" si="21"/>
        <v>0.268765133171913</v>
      </c>
      <c r="U17" s="4">
        <f t="shared" si="22"/>
        <v>0.278450363196126</v>
      </c>
      <c r="V17" s="4">
        <f t="shared" si="23"/>
        <v>0</v>
      </c>
      <c r="W17" s="4">
        <f t="shared" si="24"/>
        <v>0.60774818401937</v>
      </c>
      <c r="X17" s="4">
        <f t="shared" si="25"/>
        <v>1</v>
      </c>
    </row>
    <row r="18" spans="1:24">
      <c r="A18" s="218" t="s">
        <v>22</v>
      </c>
      <c r="B18" s="4">
        <v>87.32</v>
      </c>
      <c r="C18" s="4">
        <v>95</v>
      </c>
      <c r="D18" s="4">
        <v>95</v>
      </c>
      <c r="E18" s="4">
        <v>95</v>
      </c>
      <c r="F18" s="4">
        <v>90.16</v>
      </c>
      <c r="G18">
        <v>98.3</v>
      </c>
      <c r="H18" s="4">
        <v>98.5</v>
      </c>
      <c r="I18" s="4">
        <v>98.22</v>
      </c>
      <c r="J18" s="4">
        <v>97.32</v>
      </c>
      <c r="K18" s="4">
        <v>98.19</v>
      </c>
      <c r="L18" s="4">
        <f t="shared" si="13"/>
        <v>98.5</v>
      </c>
      <c r="M18" s="4">
        <f t="shared" si="14"/>
        <v>87.32</v>
      </c>
      <c r="N18" s="4">
        <f t="shared" si="15"/>
        <v>11.18</v>
      </c>
      <c r="O18" s="4">
        <f t="shared" si="16"/>
        <v>0</v>
      </c>
      <c r="P18" s="4">
        <f t="shared" si="17"/>
        <v>0.686940966010734</v>
      </c>
      <c r="Q18" s="4">
        <f t="shared" si="18"/>
        <v>0.686940966010734</v>
      </c>
      <c r="R18" s="4">
        <f t="shared" si="19"/>
        <v>0.686940966010734</v>
      </c>
      <c r="S18" s="4">
        <f t="shared" si="20"/>
        <v>0.254025044722719</v>
      </c>
      <c r="T18" s="4">
        <f t="shared" si="21"/>
        <v>0.98211091234347</v>
      </c>
      <c r="U18" s="4">
        <f t="shared" si="22"/>
        <v>1</v>
      </c>
      <c r="V18" s="4">
        <f t="shared" si="23"/>
        <v>0.974955277280859</v>
      </c>
      <c r="W18" s="4">
        <f t="shared" si="24"/>
        <v>0.894454382826475</v>
      </c>
      <c r="X18" s="4">
        <f t="shared" si="25"/>
        <v>0.972271914132379</v>
      </c>
    </row>
    <row r="19" spans="1:24">
      <c r="A19" s="218" t="s">
        <v>23</v>
      </c>
      <c r="B19" s="4">
        <v>40150</v>
      </c>
      <c r="C19" s="4">
        <v>34565</v>
      </c>
      <c r="D19" s="4">
        <v>27709</v>
      </c>
      <c r="E19" s="4">
        <v>24805</v>
      </c>
      <c r="F19" s="4">
        <v>12907</v>
      </c>
      <c r="G19">
        <v>6900</v>
      </c>
      <c r="H19" s="4">
        <v>6828</v>
      </c>
      <c r="I19" s="4">
        <v>7137</v>
      </c>
      <c r="J19" s="4">
        <v>6765</v>
      </c>
      <c r="K19" s="4">
        <v>7235</v>
      </c>
      <c r="L19" s="4">
        <f t="shared" si="13"/>
        <v>40150</v>
      </c>
      <c r="M19" s="4">
        <f t="shared" si="14"/>
        <v>6765</v>
      </c>
      <c r="N19" s="4">
        <f t="shared" si="15"/>
        <v>33385</v>
      </c>
      <c r="O19" s="4">
        <f>(L19-B19)/N19</f>
        <v>0</v>
      </c>
      <c r="P19" s="4">
        <f>(L19-C19)/N19</f>
        <v>0.167290699415905</v>
      </c>
      <c r="Q19" s="4">
        <f>(L19-D19)/N19</f>
        <v>0.372652388797364</v>
      </c>
      <c r="R19" s="4">
        <f>(L19-E19)/N19</f>
        <v>0.459637561779242</v>
      </c>
      <c r="S19" s="4">
        <f>(L19-F19)/N19</f>
        <v>0.816025161000449</v>
      </c>
      <c r="T19" s="4">
        <f>(L19-G19)/N19</f>
        <v>0.995956267784933</v>
      </c>
      <c r="U19" s="4">
        <f>(L19-H19)/N19</f>
        <v>0.998112924966302</v>
      </c>
      <c r="V19" s="4">
        <f>(L19-I19)/N19</f>
        <v>0.988857271229594</v>
      </c>
      <c r="W19" s="4">
        <f>(L19-J19)/N19</f>
        <v>1</v>
      </c>
      <c r="X19" s="4">
        <f>(L19-K19)/N19</f>
        <v>0.985921821177175</v>
      </c>
    </row>
    <row r="20" spans="1:24">
      <c r="A20" s="218" t="s">
        <v>24</v>
      </c>
      <c r="B20" s="4">
        <v>94370</v>
      </c>
      <c r="C20" s="4">
        <v>95796</v>
      </c>
      <c r="D20" s="4">
        <v>51021</v>
      </c>
      <c r="E20" s="4">
        <v>34282</v>
      </c>
      <c r="F20" s="4">
        <v>14893</v>
      </c>
      <c r="G20">
        <v>13428</v>
      </c>
      <c r="H20" s="4">
        <v>10246</v>
      </c>
      <c r="I20" s="4">
        <v>9267</v>
      </c>
      <c r="J20" s="4">
        <v>8261</v>
      </c>
      <c r="K20" s="4">
        <v>9017</v>
      </c>
      <c r="L20" s="4">
        <f t="shared" si="13"/>
        <v>95796</v>
      </c>
      <c r="M20" s="4">
        <f t="shared" si="14"/>
        <v>8261</v>
      </c>
      <c r="N20" s="4">
        <f t="shared" si="15"/>
        <v>87535</v>
      </c>
      <c r="O20" s="4">
        <f>(L20-B20)/N20</f>
        <v>0.0162906266065003</v>
      </c>
      <c r="P20" s="4">
        <f>(L20-C20)/N20</f>
        <v>0</v>
      </c>
      <c r="Q20" s="4">
        <f>(L20-D20)/N20</f>
        <v>0.511509681841549</v>
      </c>
      <c r="R20" s="4">
        <f>(L20-E20)/N20</f>
        <v>0.702736048437768</v>
      </c>
      <c r="S20" s="4">
        <f>(L20-F20)/N20</f>
        <v>0.924236019877763</v>
      </c>
      <c r="T20" s="4">
        <f>(L20-G20)/N20</f>
        <v>0.940972182555549</v>
      </c>
      <c r="U20" s="4">
        <f>(L20-H20)/N20</f>
        <v>0.977323356371737</v>
      </c>
      <c r="V20" s="4">
        <f>(L20-I20)/N20</f>
        <v>0.988507454161193</v>
      </c>
      <c r="W20" s="4">
        <f>(L20-J20)/N20</f>
        <v>1</v>
      </c>
      <c r="X20" s="4">
        <f>(L20-K20)/N20</f>
        <v>0.991363454618153</v>
      </c>
    </row>
    <row r="21" ht="15.75" spans="1:24">
      <c r="A21" s="220" t="s">
        <v>25</v>
      </c>
      <c r="B21" s="4">
        <v>99.96</v>
      </c>
      <c r="C21" s="4">
        <v>99.85</v>
      </c>
      <c r="D21" s="4">
        <v>99.72</v>
      </c>
      <c r="E21" s="4">
        <v>99.67</v>
      </c>
      <c r="F21" s="4">
        <v>99.7</v>
      </c>
      <c r="G21" s="4">
        <v>99.65</v>
      </c>
      <c r="H21" s="4">
        <v>99.66</v>
      </c>
      <c r="I21" s="4">
        <v>99.67</v>
      </c>
      <c r="J21" s="4">
        <v>99.84</v>
      </c>
      <c r="K21" s="4">
        <v>100</v>
      </c>
      <c r="L21" s="4">
        <f t="shared" si="13"/>
        <v>100</v>
      </c>
      <c r="M21" s="4">
        <f t="shared" si="14"/>
        <v>99.65</v>
      </c>
      <c r="N21" s="4">
        <f t="shared" si="15"/>
        <v>0.349999999999994</v>
      </c>
      <c r="O21" s="4">
        <f t="shared" ref="O21:O24" si="26">(B21-M21)/N21</f>
        <v>0.885714285714266</v>
      </c>
      <c r="P21" s="4">
        <f t="shared" ref="P21:P24" si="27">(C21-M21)/N21</f>
        <v>0.571428571428548</v>
      </c>
      <c r="Q21" s="4">
        <f t="shared" ref="Q21:Q24" si="28">(D21-M21)/N21</f>
        <v>0.199999999999984</v>
      </c>
      <c r="R21" s="4">
        <f t="shared" ref="R21:R24" si="29">(E21-M21)/N21</f>
        <v>0.0571428571428467</v>
      </c>
      <c r="S21" s="4">
        <f t="shared" ref="S21:S24" si="30">(F21-M21)/N21</f>
        <v>0.142857142857137</v>
      </c>
      <c r="T21" s="4">
        <f t="shared" ref="T21:T24" si="31">(G21-M21)/N21</f>
        <v>0</v>
      </c>
      <c r="U21" s="4">
        <f t="shared" ref="U21:U24" si="32">(H21-M21)/N21</f>
        <v>0.028571428571403</v>
      </c>
      <c r="V21" s="4">
        <f t="shared" ref="V21:V24" si="33">(I21-M21)/N21</f>
        <v>0.0571428571428467</v>
      </c>
      <c r="W21" s="4">
        <f t="shared" ref="W21:W24" si="34">(J21-M21)/N21</f>
        <v>0.542857142857145</v>
      </c>
      <c r="X21" s="4">
        <f t="shared" ref="X21:X24" si="35">(K21-M21)/N21</f>
        <v>1</v>
      </c>
    </row>
    <row r="22" ht="15.75" spans="1:24">
      <c r="A22" s="220" t="s">
        <v>26</v>
      </c>
      <c r="B22" s="4">
        <v>99.44</v>
      </c>
      <c r="C22" s="4">
        <v>99.16</v>
      </c>
      <c r="D22" s="4">
        <v>98.89</v>
      </c>
      <c r="E22" s="4">
        <v>98.8</v>
      </c>
      <c r="F22" s="4">
        <v>98.75</v>
      </c>
      <c r="G22" s="4">
        <v>98.87</v>
      </c>
      <c r="H22" s="4">
        <v>98.9</v>
      </c>
      <c r="I22" s="4">
        <v>99.02</v>
      </c>
      <c r="J22" s="4">
        <v>99.67</v>
      </c>
      <c r="K22" s="4">
        <v>100</v>
      </c>
      <c r="L22" s="4">
        <f t="shared" si="13"/>
        <v>100</v>
      </c>
      <c r="M22" s="4">
        <f t="shared" si="14"/>
        <v>98.75</v>
      </c>
      <c r="N22" s="4">
        <f t="shared" si="15"/>
        <v>1.25</v>
      </c>
      <c r="O22" s="4">
        <f t="shared" si="26"/>
        <v>0.551999999999998</v>
      </c>
      <c r="P22" s="4">
        <f t="shared" si="27"/>
        <v>0.327999999999997</v>
      </c>
      <c r="Q22" s="4">
        <f t="shared" si="28"/>
        <v>0.112</v>
      </c>
      <c r="R22" s="4">
        <f t="shared" si="29"/>
        <v>0.0399999999999977</v>
      </c>
      <c r="S22" s="4">
        <f t="shared" si="30"/>
        <v>0</v>
      </c>
      <c r="T22" s="4">
        <f t="shared" si="31"/>
        <v>0.0960000000000036</v>
      </c>
      <c r="U22" s="4">
        <f t="shared" si="32"/>
        <v>0.120000000000005</v>
      </c>
      <c r="V22" s="4">
        <f t="shared" si="33"/>
        <v>0.215999999999997</v>
      </c>
      <c r="W22" s="4">
        <f t="shared" si="34"/>
        <v>0.736000000000001</v>
      </c>
      <c r="X22" s="4">
        <f t="shared" si="35"/>
        <v>1</v>
      </c>
    </row>
    <row r="23" spans="1:24">
      <c r="A23" s="221" t="s">
        <v>27</v>
      </c>
      <c r="B23" s="218">
        <v>0.696</v>
      </c>
      <c r="C23" s="218">
        <v>0.6905</v>
      </c>
      <c r="D23" s="218">
        <v>0.7383</v>
      </c>
      <c r="E23" s="218">
        <v>0.7225</v>
      </c>
      <c r="F23" s="218">
        <v>0.7112</v>
      </c>
      <c r="G23" s="218">
        <v>0.6536</v>
      </c>
      <c r="H23" s="218">
        <v>0.7479</v>
      </c>
      <c r="I23" s="218">
        <v>0.7631</v>
      </c>
      <c r="J23" s="218">
        <v>0.7727</v>
      </c>
      <c r="K23" s="218">
        <v>0.7552</v>
      </c>
      <c r="L23" s="4">
        <f t="shared" si="13"/>
        <v>0.7727</v>
      </c>
      <c r="M23" s="4">
        <f t="shared" si="14"/>
        <v>0.6536</v>
      </c>
      <c r="N23" s="4">
        <f t="shared" si="15"/>
        <v>0.1191</v>
      </c>
      <c r="O23" s="4">
        <f t="shared" si="26"/>
        <v>0.35600335852225</v>
      </c>
      <c r="P23" s="4">
        <f t="shared" si="27"/>
        <v>0.309823677581864</v>
      </c>
      <c r="Q23" s="4">
        <f t="shared" si="28"/>
        <v>0.711167086481947</v>
      </c>
      <c r="R23" s="4">
        <f t="shared" si="29"/>
        <v>0.578505457598657</v>
      </c>
      <c r="S23" s="4">
        <f t="shared" si="30"/>
        <v>0.483627204030227</v>
      </c>
      <c r="T23" s="4">
        <f t="shared" si="31"/>
        <v>0</v>
      </c>
      <c r="U23" s="4">
        <f t="shared" si="32"/>
        <v>0.791771620486986</v>
      </c>
      <c r="V23" s="4">
        <f t="shared" si="33"/>
        <v>0.919395465994962</v>
      </c>
      <c r="W23" s="4">
        <f t="shared" si="34"/>
        <v>1</v>
      </c>
      <c r="X23" s="4">
        <f t="shared" si="35"/>
        <v>0.853064651553316</v>
      </c>
    </row>
    <row r="24" spans="1:24">
      <c r="A24" s="221" t="s">
        <v>28</v>
      </c>
      <c r="B24" s="218">
        <v>0.8804</v>
      </c>
      <c r="C24" s="218">
        <v>0.8991</v>
      </c>
      <c r="D24" s="218">
        <v>0.9363</v>
      </c>
      <c r="E24" s="218">
        <v>0.8574</v>
      </c>
      <c r="F24" s="218">
        <v>0.9092</v>
      </c>
      <c r="G24" s="218">
        <v>0.9488</v>
      </c>
      <c r="H24" s="218">
        <v>0.9784</v>
      </c>
      <c r="I24" s="218">
        <v>0.9746</v>
      </c>
      <c r="J24" s="218">
        <v>1.0441</v>
      </c>
      <c r="K24" s="218">
        <v>1.1001</v>
      </c>
      <c r="L24" s="4">
        <f t="shared" si="13"/>
        <v>1.1001</v>
      </c>
      <c r="M24" s="4">
        <f t="shared" si="14"/>
        <v>0.8574</v>
      </c>
      <c r="N24" s="4">
        <f t="shared" si="15"/>
        <v>0.2427</v>
      </c>
      <c r="O24" s="4">
        <f t="shared" si="26"/>
        <v>0.094767202307375</v>
      </c>
      <c r="P24" s="4">
        <f t="shared" si="27"/>
        <v>0.171817058096415</v>
      </c>
      <c r="Q24" s="4">
        <f t="shared" si="28"/>
        <v>0.325092707045735</v>
      </c>
      <c r="R24" s="4">
        <f t="shared" si="29"/>
        <v>0</v>
      </c>
      <c r="S24" s="4">
        <f t="shared" si="30"/>
        <v>0.213432220848784</v>
      </c>
      <c r="T24" s="4">
        <f t="shared" si="31"/>
        <v>0.376596621343222</v>
      </c>
      <c r="U24" s="4">
        <f t="shared" si="32"/>
        <v>0.49855789039967</v>
      </c>
      <c r="V24" s="4">
        <f t="shared" si="33"/>
        <v>0.482900700453234</v>
      </c>
      <c r="W24" s="4">
        <f t="shared" si="34"/>
        <v>0.76926246394726</v>
      </c>
      <c r="X24" s="4">
        <f t="shared" si="35"/>
        <v>1</v>
      </c>
    </row>
    <row r="25" spans="1:24">
      <c r="L25" s="4"/>
      <c r="M25" s="4"/>
      <c r="N25" s="4"/>
      <c r="O25" s="4"/>
      <c r="P25" s="4"/>
      <c r="Q25" s="4"/>
      <c r="R25" s="4"/>
      <c r="S25" s="4"/>
      <c r="T25" s="4"/>
    </row>
    <row r="26" spans="1:24">
      <c r="L26" s="4"/>
      <c r="M26" s="4"/>
      <c r="N26" s="4"/>
      <c r="O26" s="4">
        <v>2014</v>
      </c>
      <c r="P26" s="4">
        <v>2015</v>
      </c>
      <c r="Q26" s="4">
        <v>2016</v>
      </c>
      <c r="R26" s="4">
        <v>2017</v>
      </c>
      <c r="S26" s="4">
        <v>2018</v>
      </c>
      <c r="T26" s="4">
        <v>2019</v>
      </c>
      <c r="U26" s="4">
        <v>2020</v>
      </c>
      <c r="V26" s="4">
        <v>2021</v>
      </c>
      <c r="W26" s="4">
        <v>2022</v>
      </c>
      <c r="X26" s="4">
        <v>2023</v>
      </c>
    </row>
    <row r="27" spans="1:24">
      <c r="L27" s="4"/>
      <c r="M27" s="4"/>
      <c r="N27" s="4"/>
      <c r="O27" s="4">
        <f t="shared" ref="O27:X27" si="36">ROUND(O2,4)+0.0001</f>
        <v>0.6736</v>
      </c>
      <c r="P27" s="4">
        <f t="shared" si="36"/>
        <v>0.6962</v>
      </c>
      <c r="Q27" s="4">
        <f t="shared" si="36"/>
        <v>0.4221</v>
      </c>
      <c r="R27" s="4">
        <f t="shared" si="36"/>
        <v>0.0001</v>
      </c>
      <c r="S27" s="4">
        <f t="shared" si="36"/>
        <v>0.6774</v>
      </c>
      <c r="T27" s="4">
        <f t="shared" si="36"/>
        <v>0.4792</v>
      </c>
      <c r="U27" s="4">
        <f t="shared" si="36"/>
        <v>0.4875</v>
      </c>
      <c r="V27" s="4">
        <f t="shared" si="36"/>
        <v>0.7243</v>
      </c>
      <c r="W27" s="4">
        <f t="shared" si="36"/>
        <v>0.9043</v>
      </c>
      <c r="X27" s="4">
        <f t="shared" si="36"/>
        <v>1.0001</v>
      </c>
    </row>
    <row r="28" spans="1:24">
      <c r="L28" s="4"/>
      <c r="M28" s="4"/>
      <c r="N28" s="4"/>
      <c r="O28" s="4">
        <f t="shared" ref="O28:X28" si="37">ROUND(O3,4)+0.0001</f>
        <v>0.0001</v>
      </c>
      <c r="P28" s="4">
        <f t="shared" si="37"/>
        <v>0.0001</v>
      </c>
      <c r="Q28" s="4">
        <f t="shared" si="37"/>
        <v>0.0001</v>
      </c>
      <c r="R28" s="4">
        <f t="shared" si="37"/>
        <v>0.0001</v>
      </c>
      <c r="S28" s="4">
        <f t="shared" si="37"/>
        <v>0.0001</v>
      </c>
      <c r="T28" s="4">
        <f t="shared" si="37"/>
        <v>0.0001</v>
      </c>
      <c r="U28" s="4">
        <f t="shared" si="37"/>
        <v>0.8394</v>
      </c>
      <c r="V28" s="4">
        <f t="shared" si="37"/>
        <v>0.8394</v>
      </c>
      <c r="W28" s="4">
        <f t="shared" si="37"/>
        <v>0.8394</v>
      </c>
      <c r="X28" s="4">
        <f t="shared" si="37"/>
        <v>1.0001</v>
      </c>
    </row>
    <row r="29" spans="1:24">
      <c r="L29" s="4"/>
      <c r="M29" s="4"/>
      <c r="N29" s="4"/>
      <c r="O29" s="4">
        <f t="shared" ref="O29:X29" si="38">ROUND(O4,4)+0.0001</f>
        <v>0.0193</v>
      </c>
      <c r="P29" s="4">
        <f t="shared" si="38"/>
        <v>0.0251</v>
      </c>
      <c r="Q29" s="4">
        <f t="shared" si="38"/>
        <v>0.0001</v>
      </c>
      <c r="R29" s="4">
        <f t="shared" si="38"/>
        <v>0.0113</v>
      </c>
      <c r="S29" s="4">
        <f t="shared" si="38"/>
        <v>0.1813</v>
      </c>
      <c r="T29" s="4">
        <f t="shared" si="38"/>
        <v>0.2548</v>
      </c>
      <c r="U29" s="4">
        <f t="shared" si="38"/>
        <v>0.4319</v>
      </c>
      <c r="V29" s="4">
        <f t="shared" si="38"/>
        <v>1.0001</v>
      </c>
      <c r="W29" s="4">
        <f t="shared" si="38"/>
        <v>0.3531</v>
      </c>
      <c r="X29" s="4">
        <f t="shared" si="38"/>
        <v>0.3989</v>
      </c>
    </row>
    <row r="30" spans="1:24">
      <c r="L30" s="4"/>
      <c r="M30" s="4"/>
      <c r="N30" s="4"/>
      <c r="O30" s="4">
        <f t="shared" ref="O30:X30" si="39">ROUND(O5,4)+0.0001</f>
        <v>0.8572</v>
      </c>
      <c r="P30" s="4">
        <f t="shared" si="39"/>
        <v>0.8572</v>
      </c>
      <c r="Q30" s="4">
        <f t="shared" si="39"/>
        <v>0.5239</v>
      </c>
      <c r="R30" s="4">
        <f t="shared" si="39"/>
        <v>0.0001</v>
      </c>
      <c r="S30" s="4">
        <f t="shared" si="39"/>
        <v>0.7144</v>
      </c>
      <c r="T30" s="4">
        <f t="shared" si="39"/>
        <v>0.3811</v>
      </c>
      <c r="U30" s="4">
        <f t="shared" si="39"/>
        <v>0.3811</v>
      </c>
      <c r="V30" s="4">
        <f t="shared" si="39"/>
        <v>0.6668</v>
      </c>
      <c r="W30" s="4">
        <f t="shared" si="39"/>
        <v>0.8572</v>
      </c>
      <c r="X30" s="4">
        <f t="shared" si="39"/>
        <v>1.0001</v>
      </c>
    </row>
    <row r="31" spans="1:24">
      <c r="L31" s="4"/>
      <c r="M31" s="4"/>
      <c r="N31" s="4"/>
      <c r="O31" s="4">
        <f t="shared" ref="O31:X31" si="40">ROUND(O6,4)+0.0001</f>
        <v>1.0001</v>
      </c>
      <c r="P31" s="4">
        <f t="shared" si="40"/>
        <v>0.1955</v>
      </c>
      <c r="Q31" s="4">
        <f t="shared" si="40"/>
        <v>0.3236</v>
      </c>
      <c r="R31" s="4">
        <f t="shared" si="40"/>
        <v>0.5067</v>
      </c>
      <c r="S31" s="4">
        <f t="shared" si="40"/>
        <v>0.6923</v>
      </c>
      <c r="T31" s="4">
        <f t="shared" si="40"/>
        <v>0.6477</v>
      </c>
      <c r="U31" s="4">
        <f t="shared" si="40"/>
        <v>0.5096</v>
      </c>
      <c r="V31" s="4">
        <f t="shared" si="40"/>
        <v>0.0001</v>
      </c>
      <c r="W31" s="4">
        <f t="shared" si="40"/>
        <v>0.3861</v>
      </c>
      <c r="X31" s="4">
        <f t="shared" si="40"/>
        <v>0.6544</v>
      </c>
    </row>
    <row r="32" spans="1:24">
      <c r="L32" s="4"/>
      <c r="M32" s="4"/>
      <c r="N32" s="4"/>
      <c r="O32" s="4">
        <f t="shared" ref="O32:X32" si="41">ROUND(O7,4)+0.0001</f>
        <v>1.0001</v>
      </c>
      <c r="P32" s="4">
        <f t="shared" si="41"/>
        <v>0.5852</v>
      </c>
      <c r="Q32" s="4">
        <f t="shared" si="41"/>
        <v>0.0001</v>
      </c>
      <c r="R32" s="4">
        <f t="shared" si="41"/>
        <v>0.0407</v>
      </c>
      <c r="S32" s="4">
        <f t="shared" si="41"/>
        <v>0.0719</v>
      </c>
      <c r="T32" s="4">
        <f t="shared" si="41"/>
        <v>0.0046</v>
      </c>
      <c r="U32" s="4">
        <f t="shared" si="41"/>
        <v>0.0048</v>
      </c>
      <c r="V32" s="4">
        <f t="shared" si="41"/>
        <v>0.0074</v>
      </c>
      <c r="W32" s="4">
        <f t="shared" si="41"/>
        <v>0.0254</v>
      </c>
      <c r="X32" s="4">
        <f t="shared" si="41"/>
        <v>0.0272</v>
      </c>
    </row>
    <row r="33" spans="12:24">
      <c r="L33" s="4"/>
      <c r="M33" s="4"/>
      <c r="N33" s="4"/>
      <c r="O33" s="4">
        <f t="shared" ref="O33:X33" si="42">ROUND(O8,4)+0.0001</f>
        <v>0.5637</v>
      </c>
      <c r="P33" s="4">
        <f t="shared" si="42"/>
        <v>0.6646</v>
      </c>
      <c r="Q33" s="4">
        <f t="shared" si="42"/>
        <v>0.7903</v>
      </c>
      <c r="R33" s="4">
        <f t="shared" si="42"/>
        <v>0.912</v>
      </c>
      <c r="S33" s="4">
        <f t="shared" si="42"/>
        <v>0.9734</v>
      </c>
      <c r="T33" s="4">
        <f t="shared" si="42"/>
        <v>1.0001</v>
      </c>
      <c r="U33" s="4">
        <f t="shared" si="42"/>
        <v>0.1291</v>
      </c>
      <c r="V33" s="4">
        <f t="shared" si="42"/>
        <v>0.0001</v>
      </c>
      <c r="W33" s="4">
        <f t="shared" si="42"/>
        <v>0.136</v>
      </c>
      <c r="X33" s="4">
        <f t="shared" si="42"/>
        <v>0.1862</v>
      </c>
    </row>
    <row r="34" spans="12:24">
      <c r="L34" s="4"/>
      <c r="M34" s="4"/>
      <c r="N34" s="4"/>
      <c r="O34" s="4">
        <f t="shared" ref="O34:X34" si="43">ROUND(O9,4)+0.0001</f>
        <v>0.2681</v>
      </c>
      <c r="P34" s="4">
        <f t="shared" si="43"/>
        <v>0.2449</v>
      </c>
      <c r="Q34" s="4">
        <f t="shared" si="43"/>
        <v>0.0027</v>
      </c>
      <c r="R34" s="4">
        <f t="shared" si="43"/>
        <v>1.0001</v>
      </c>
      <c r="S34" s="4">
        <f t="shared" si="43"/>
        <v>0.2681</v>
      </c>
      <c r="T34" s="4">
        <f t="shared" si="43"/>
        <v>0.0671</v>
      </c>
      <c r="U34" s="4">
        <f t="shared" si="43"/>
        <v>0.0723</v>
      </c>
      <c r="V34" s="4">
        <f t="shared" si="43"/>
        <v>0.0645</v>
      </c>
      <c r="W34" s="4">
        <f t="shared" si="43"/>
        <v>0.0336</v>
      </c>
      <c r="X34" s="4">
        <f t="shared" si="43"/>
        <v>0.0001</v>
      </c>
    </row>
    <row r="35" spans="12:24">
      <c r="L35" s="4"/>
      <c r="M35" s="4"/>
      <c r="N35" s="4"/>
      <c r="O35" s="4">
        <f t="shared" ref="O35:X35" si="44">ROUND(O10,4)+0.0001</f>
        <v>1.0001</v>
      </c>
      <c r="P35" s="4">
        <f t="shared" si="44"/>
        <v>0.9569</v>
      </c>
      <c r="Q35" s="4">
        <f t="shared" si="44"/>
        <v>0.9028</v>
      </c>
      <c r="R35" s="4">
        <f t="shared" si="44"/>
        <v>0.7947</v>
      </c>
      <c r="S35" s="4">
        <f t="shared" si="44"/>
        <v>0.6163</v>
      </c>
      <c r="T35" s="4">
        <f t="shared" si="44"/>
        <v>0.5136</v>
      </c>
      <c r="U35" s="4">
        <f t="shared" si="44"/>
        <v>0.4433</v>
      </c>
      <c r="V35" s="4">
        <f t="shared" si="44"/>
        <v>0.3839</v>
      </c>
      <c r="W35" s="4">
        <f t="shared" si="44"/>
        <v>0.1406</v>
      </c>
      <c r="X35" s="4">
        <f t="shared" si="44"/>
        <v>0.0001</v>
      </c>
    </row>
    <row r="36" spans="12:24">
      <c r="L36" s="4"/>
      <c r="M36" s="4"/>
      <c r="N36" s="4"/>
      <c r="O36" s="4">
        <f t="shared" ref="O36:X36" si="45">ROUND(O11,4)+0.0001</f>
        <v>0.0001</v>
      </c>
      <c r="P36" s="4">
        <f t="shared" si="45"/>
        <v>0.1986</v>
      </c>
      <c r="Q36" s="4">
        <f t="shared" si="45"/>
        <v>0.3589</v>
      </c>
      <c r="R36" s="4">
        <f t="shared" si="45"/>
        <v>0.5268</v>
      </c>
      <c r="S36" s="4">
        <f t="shared" si="45"/>
        <v>0.7482</v>
      </c>
      <c r="T36" s="4">
        <f t="shared" si="45"/>
        <v>0.8474</v>
      </c>
      <c r="U36" s="4">
        <f t="shared" si="45"/>
        <v>0.9161</v>
      </c>
      <c r="V36" s="4">
        <f t="shared" si="45"/>
        <v>0.9467</v>
      </c>
      <c r="W36" s="4">
        <f t="shared" si="45"/>
        <v>0.9543</v>
      </c>
      <c r="X36" s="4">
        <f t="shared" si="45"/>
        <v>1.0001</v>
      </c>
    </row>
    <row r="37" spans="12:24"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2:24">
      <c r="L38" s="4"/>
      <c r="M38" s="4"/>
      <c r="N38" s="4"/>
      <c r="O38" s="4">
        <f t="shared" ref="O38:X38" si="46">ROUND(O13,4)+0.0001</f>
        <v>0.8789</v>
      </c>
      <c r="P38" s="4">
        <f t="shared" si="46"/>
        <v>0.6971</v>
      </c>
      <c r="Q38" s="4">
        <f t="shared" si="46"/>
        <v>0.8789</v>
      </c>
      <c r="R38" s="4">
        <f t="shared" si="46"/>
        <v>0.8486</v>
      </c>
      <c r="S38" s="4">
        <f t="shared" si="46"/>
        <v>1.0001</v>
      </c>
      <c r="T38" s="4">
        <f t="shared" si="46"/>
        <v>0.6365</v>
      </c>
      <c r="U38" s="4">
        <f t="shared" si="46"/>
        <v>0.6062</v>
      </c>
      <c r="V38" s="4">
        <f t="shared" si="46"/>
        <v>0.4546</v>
      </c>
      <c r="W38" s="4">
        <f t="shared" si="46"/>
        <v>0.2425</v>
      </c>
      <c r="X38" s="4">
        <f t="shared" si="46"/>
        <v>0.0001</v>
      </c>
    </row>
    <row r="39" spans="12:24">
      <c r="L39" s="4"/>
      <c r="M39" s="4"/>
      <c r="N39" s="4"/>
      <c r="O39" s="4">
        <f t="shared" ref="O39:X39" si="47">ROUND(O14,4)+0.0001</f>
        <v>0.1102</v>
      </c>
      <c r="P39" s="4">
        <f t="shared" si="47"/>
        <v>0.101</v>
      </c>
      <c r="Q39" s="4">
        <f t="shared" si="47"/>
        <v>0.0001</v>
      </c>
      <c r="R39" s="4">
        <f t="shared" si="47"/>
        <v>0.0368</v>
      </c>
      <c r="S39" s="4">
        <f t="shared" si="47"/>
        <v>0.1194</v>
      </c>
      <c r="T39" s="4">
        <f t="shared" si="47"/>
        <v>0.257</v>
      </c>
      <c r="U39" s="4">
        <f t="shared" si="47"/>
        <v>0.312</v>
      </c>
      <c r="V39" s="4">
        <f t="shared" si="47"/>
        <v>0.4038</v>
      </c>
      <c r="W39" s="4">
        <f t="shared" si="47"/>
        <v>0.7432</v>
      </c>
      <c r="X39" s="4">
        <f t="shared" si="47"/>
        <v>1.0001</v>
      </c>
    </row>
    <row r="40" spans="12:24">
      <c r="L40" s="4"/>
      <c r="M40" s="4"/>
      <c r="N40" s="4"/>
      <c r="O40" s="4">
        <f t="shared" ref="O40:X40" si="48">ROUND(O15,4)+0.0001</f>
        <v>0.9771</v>
      </c>
      <c r="P40" s="4">
        <f t="shared" si="48"/>
        <v>1.0001</v>
      </c>
      <c r="Q40" s="4">
        <f t="shared" si="48"/>
        <v>0.9139</v>
      </c>
      <c r="R40" s="4">
        <f t="shared" si="48"/>
        <v>0.8162</v>
      </c>
      <c r="S40" s="4">
        <f t="shared" si="48"/>
        <v>0.707</v>
      </c>
      <c r="T40" s="4">
        <f t="shared" si="48"/>
        <v>0.6035</v>
      </c>
      <c r="U40" s="4">
        <f t="shared" si="48"/>
        <v>0.4771</v>
      </c>
      <c r="V40" s="4">
        <f t="shared" si="48"/>
        <v>0.3967</v>
      </c>
      <c r="W40" s="4">
        <f t="shared" si="48"/>
        <v>0.1265</v>
      </c>
      <c r="X40" s="4">
        <f t="shared" si="48"/>
        <v>0.0001</v>
      </c>
    </row>
    <row r="41" spans="12:24">
      <c r="L41" s="4"/>
      <c r="M41" s="4"/>
      <c r="N41" s="4"/>
      <c r="O41" s="4">
        <f t="shared" ref="O41:X41" si="49">ROUND(O16,4)+0.0001</f>
        <v>0.2922</v>
      </c>
      <c r="P41" s="4">
        <f t="shared" si="49"/>
        <v>0.3259</v>
      </c>
      <c r="Q41" s="4">
        <f t="shared" si="49"/>
        <v>0.3334</v>
      </c>
      <c r="R41" s="4">
        <f t="shared" si="49"/>
        <v>0.9589</v>
      </c>
      <c r="S41" s="4">
        <f t="shared" si="49"/>
        <v>1.0001</v>
      </c>
      <c r="T41" s="4">
        <f t="shared" si="49"/>
        <v>0.0001</v>
      </c>
      <c r="U41" s="4">
        <f t="shared" si="49"/>
        <v>0.502</v>
      </c>
      <c r="V41" s="4">
        <f t="shared" si="49"/>
        <v>0.5319</v>
      </c>
      <c r="W41" s="4">
        <f t="shared" si="49"/>
        <v>0.708</v>
      </c>
      <c r="X41" s="4">
        <f t="shared" si="49"/>
        <v>0.2248</v>
      </c>
    </row>
    <row r="42" spans="12:24">
      <c r="L42" s="4"/>
      <c r="M42" s="4"/>
      <c r="N42" s="4"/>
      <c r="O42" s="4">
        <f t="shared" ref="O42:X42" si="50">ROUND(O17,4)+0.0001</f>
        <v>0.1091</v>
      </c>
      <c r="P42" s="4">
        <f t="shared" si="50"/>
        <v>0.1139</v>
      </c>
      <c r="Q42" s="4">
        <f t="shared" si="50"/>
        <v>0.1115</v>
      </c>
      <c r="R42" s="4">
        <f t="shared" si="50"/>
        <v>0.2471</v>
      </c>
      <c r="S42" s="4">
        <f t="shared" si="50"/>
        <v>0.2592</v>
      </c>
      <c r="T42" s="4">
        <f t="shared" si="50"/>
        <v>0.2689</v>
      </c>
      <c r="U42" s="4">
        <f t="shared" si="50"/>
        <v>0.2786</v>
      </c>
      <c r="V42" s="4">
        <f t="shared" si="50"/>
        <v>0.0001</v>
      </c>
      <c r="W42" s="4">
        <f t="shared" si="50"/>
        <v>0.6078</v>
      </c>
      <c r="X42" s="4">
        <f t="shared" si="50"/>
        <v>1.0001</v>
      </c>
    </row>
    <row r="43" spans="12:24">
      <c r="L43" s="4"/>
      <c r="M43" s="4"/>
      <c r="N43" s="4"/>
      <c r="O43" s="4">
        <f t="shared" ref="O43:X43" si="51">ROUND(O18,4)+0.0001</f>
        <v>0.0001</v>
      </c>
      <c r="P43" s="4">
        <f t="shared" si="51"/>
        <v>0.687</v>
      </c>
      <c r="Q43" s="4">
        <f t="shared" si="51"/>
        <v>0.687</v>
      </c>
      <c r="R43" s="4">
        <f t="shared" si="51"/>
        <v>0.687</v>
      </c>
      <c r="S43" s="4">
        <f t="shared" si="51"/>
        <v>0.2541</v>
      </c>
      <c r="T43" s="4">
        <f t="shared" si="51"/>
        <v>0.9822</v>
      </c>
      <c r="U43" s="4">
        <f t="shared" si="51"/>
        <v>1.0001</v>
      </c>
      <c r="V43" s="4">
        <f t="shared" si="51"/>
        <v>0.9751</v>
      </c>
      <c r="W43" s="4">
        <f t="shared" si="51"/>
        <v>0.8946</v>
      </c>
      <c r="X43" s="4">
        <f t="shared" si="51"/>
        <v>0.9724</v>
      </c>
    </row>
    <row r="44" spans="12:24">
      <c r="L44" s="4"/>
      <c r="M44" s="4"/>
      <c r="N44" s="4"/>
      <c r="O44" s="4">
        <f t="shared" ref="O44:X44" si="52">ROUND(O19,4)+0.0001</f>
        <v>0.0001</v>
      </c>
      <c r="P44" s="4">
        <f t="shared" si="52"/>
        <v>0.1674</v>
      </c>
      <c r="Q44" s="4">
        <f t="shared" si="52"/>
        <v>0.3728</v>
      </c>
      <c r="R44" s="4">
        <f t="shared" si="52"/>
        <v>0.4597</v>
      </c>
      <c r="S44" s="4">
        <f t="shared" si="52"/>
        <v>0.8161</v>
      </c>
      <c r="T44" s="4">
        <f t="shared" si="52"/>
        <v>0.9961</v>
      </c>
      <c r="U44" s="4">
        <f t="shared" si="52"/>
        <v>0.9982</v>
      </c>
      <c r="V44" s="4">
        <f t="shared" si="52"/>
        <v>0.989</v>
      </c>
      <c r="W44" s="4">
        <f t="shared" si="52"/>
        <v>1.0001</v>
      </c>
      <c r="X44" s="4">
        <f t="shared" si="52"/>
        <v>0.986</v>
      </c>
    </row>
    <row r="45" spans="12:24">
      <c r="L45" s="4"/>
      <c r="M45" s="4"/>
      <c r="N45" s="4"/>
      <c r="O45" s="4">
        <f t="shared" ref="O45:X45" si="53">ROUND(O20,4)+0.0001</f>
        <v>0.0164</v>
      </c>
      <c r="P45" s="4">
        <f t="shared" si="53"/>
        <v>0.0001</v>
      </c>
      <c r="Q45" s="4">
        <f t="shared" si="53"/>
        <v>0.5116</v>
      </c>
      <c r="R45" s="4">
        <f t="shared" si="53"/>
        <v>0.7028</v>
      </c>
      <c r="S45" s="4">
        <f t="shared" si="53"/>
        <v>0.9243</v>
      </c>
      <c r="T45" s="4">
        <f t="shared" si="53"/>
        <v>0.9411</v>
      </c>
      <c r="U45" s="4">
        <f t="shared" si="53"/>
        <v>0.9774</v>
      </c>
      <c r="V45" s="4">
        <f t="shared" si="53"/>
        <v>0.9886</v>
      </c>
      <c r="W45" s="4">
        <f t="shared" si="53"/>
        <v>1.0001</v>
      </c>
      <c r="X45" s="4">
        <f t="shared" si="53"/>
        <v>0.9915</v>
      </c>
    </row>
    <row r="46" spans="12:24">
      <c r="L46" s="4"/>
      <c r="M46" s="4"/>
      <c r="N46" s="4"/>
      <c r="O46" s="4">
        <f t="shared" ref="O46:X46" si="54">ROUND(O21,4)+0.0001</f>
        <v>0.8858</v>
      </c>
      <c r="P46" s="4">
        <f t="shared" si="54"/>
        <v>0.5715</v>
      </c>
      <c r="Q46" s="4">
        <f t="shared" si="54"/>
        <v>0.2001</v>
      </c>
      <c r="R46" s="4">
        <f t="shared" si="54"/>
        <v>0.0572</v>
      </c>
      <c r="S46" s="4">
        <f t="shared" si="54"/>
        <v>0.143</v>
      </c>
      <c r="T46" s="4">
        <f t="shared" si="54"/>
        <v>0.0001</v>
      </c>
      <c r="U46" s="4">
        <f t="shared" si="54"/>
        <v>0.0287</v>
      </c>
      <c r="V46" s="4">
        <f t="shared" si="54"/>
        <v>0.0572</v>
      </c>
      <c r="W46" s="4">
        <f t="shared" si="54"/>
        <v>0.543</v>
      </c>
      <c r="X46" s="4">
        <f t="shared" si="54"/>
        <v>1.0001</v>
      </c>
    </row>
    <row r="47" spans="12:24">
      <c r="L47" s="4"/>
      <c r="M47" s="4"/>
      <c r="N47" s="4"/>
      <c r="O47" s="4">
        <f t="shared" ref="O47:X47" si="55">ROUND(O22,4)+0.0001</f>
        <v>0.5521</v>
      </c>
      <c r="P47" s="4">
        <f t="shared" si="55"/>
        <v>0.3281</v>
      </c>
      <c r="Q47" s="4">
        <f t="shared" si="55"/>
        <v>0.1121</v>
      </c>
      <c r="R47" s="4">
        <f t="shared" si="55"/>
        <v>0.0401</v>
      </c>
      <c r="S47" s="4">
        <f t="shared" si="55"/>
        <v>0.0001</v>
      </c>
      <c r="T47" s="4">
        <f t="shared" si="55"/>
        <v>0.0961</v>
      </c>
      <c r="U47" s="4">
        <f t="shared" si="55"/>
        <v>0.1201</v>
      </c>
      <c r="V47" s="4">
        <f t="shared" si="55"/>
        <v>0.2161</v>
      </c>
      <c r="W47" s="4">
        <f t="shared" si="55"/>
        <v>0.7361</v>
      </c>
      <c r="X47" s="4">
        <f t="shared" si="55"/>
        <v>1.0001</v>
      </c>
    </row>
    <row r="48" spans="12:24">
      <c r="L48" s="4"/>
      <c r="M48" s="4"/>
      <c r="N48" s="4"/>
      <c r="O48" s="4">
        <f t="shared" ref="O48:X48" si="56">ROUND(O23,4)+0.0001</f>
        <v>0.3561</v>
      </c>
      <c r="P48" s="4">
        <f t="shared" si="56"/>
        <v>0.3099</v>
      </c>
      <c r="Q48" s="4">
        <f t="shared" si="56"/>
        <v>0.7113</v>
      </c>
      <c r="R48" s="4">
        <f t="shared" si="56"/>
        <v>0.5786</v>
      </c>
      <c r="S48" s="4">
        <f t="shared" si="56"/>
        <v>0.4837</v>
      </c>
      <c r="T48" s="4">
        <f t="shared" si="56"/>
        <v>0.0001</v>
      </c>
      <c r="U48" s="4">
        <f t="shared" si="56"/>
        <v>0.7919</v>
      </c>
      <c r="V48" s="4">
        <f t="shared" si="56"/>
        <v>0.9195</v>
      </c>
      <c r="W48" s="4">
        <f t="shared" si="56"/>
        <v>1.0001</v>
      </c>
      <c r="X48" s="4">
        <f t="shared" si="56"/>
        <v>0.8532</v>
      </c>
    </row>
    <row r="49" spans="12:24">
      <c r="L49" s="4"/>
      <c r="M49" s="4"/>
      <c r="N49" s="4"/>
      <c r="O49" s="4">
        <f t="shared" ref="O49:X49" si="57">ROUND(O24,4)+0.0001</f>
        <v>0.0949</v>
      </c>
      <c r="P49" s="4">
        <f t="shared" si="57"/>
        <v>0.1719</v>
      </c>
      <c r="Q49" s="4">
        <f t="shared" si="57"/>
        <v>0.3252</v>
      </c>
      <c r="R49" s="4">
        <f t="shared" si="57"/>
        <v>0.0001</v>
      </c>
      <c r="S49" s="4">
        <f t="shared" si="57"/>
        <v>0.2135</v>
      </c>
      <c r="T49" s="4">
        <f t="shared" si="57"/>
        <v>0.3767</v>
      </c>
      <c r="U49" s="4">
        <f t="shared" si="57"/>
        <v>0.4987</v>
      </c>
      <c r="V49" s="4">
        <f t="shared" si="57"/>
        <v>0.483</v>
      </c>
      <c r="W49" s="4">
        <f t="shared" si="57"/>
        <v>0.7694</v>
      </c>
      <c r="X49" s="4">
        <f t="shared" si="57"/>
        <v>1.0001</v>
      </c>
    </row>
  </sheetData>
  <pageMargins left="0.75" right="0.75" top="1" bottom="1" header="0.5" footer="0.5"/>
  <headerFooter/>
  <ignoredErrors>
    <ignoredError sqref="A1:X14 A15 L15:X15 A16:X22 A23:A24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workbookViewId="0">
      <selection activeCell="K26" sqref="K26"/>
    </sheetView>
  </sheetViews>
  <sheetFormatPr defaultColWidth="9" defaultRowHeight="13.5"/>
  <cols>
    <col min="1" max="4" width="9.6283185840708" style="4" customWidth="1"/>
    <col min="5" max="5" width="11.6283185840708" style="4" customWidth="1"/>
    <col min="6" max="21" width="9.6283185840708" style="4" customWidth="1"/>
  </cols>
  <sheetData>
    <row r="1" s="96" customFormat="1" ht="20" customHeight="1" spans="1:21">
      <c r="A1" s="147" t="s">
        <v>29</v>
      </c>
      <c r="B1" s="197" t="s">
        <v>30</v>
      </c>
      <c r="C1" s="197" t="s">
        <v>31</v>
      </c>
      <c r="D1" s="197"/>
      <c r="E1" s="197" t="s">
        <v>32</v>
      </c>
      <c r="F1" s="198" t="s">
        <v>33</v>
      </c>
      <c r="G1" s="198" t="s">
        <v>34</v>
      </c>
      <c r="H1" s="197"/>
      <c r="I1" s="199" t="s">
        <v>35</v>
      </c>
      <c r="J1" s="200"/>
      <c r="K1" s="200"/>
      <c r="L1" s="200"/>
      <c r="M1" s="201" t="s">
        <v>36</v>
      </c>
      <c r="N1" s="200"/>
      <c r="O1" s="202"/>
      <c r="P1" s="4"/>
      <c r="Q1" s="4"/>
      <c r="R1" s="4"/>
      <c r="S1" s="4"/>
      <c r="T1" s="4"/>
      <c r="U1" s="4"/>
    </row>
    <row r="2" s="96" customFormat="1" ht="18" customHeight="1" spans="1:21">
      <c r="A2" s="147"/>
      <c r="B2" s="197"/>
      <c r="C2" s="197"/>
      <c r="D2" s="197"/>
      <c r="E2" s="197"/>
      <c r="F2" s="198"/>
      <c r="G2" s="198"/>
      <c r="H2" s="197"/>
      <c r="I2" s="203" t="s">
        <v>37</v>
      </c>
      <c r="J2" s="200"/>
      <c r="K2" s="200"/>
      <c r="L2" s="200"/>
      <c r="M2" s="201"/>
      <c r="N2" s="200"/>
      <c r="O2" s="204"/>
      <c r="P2" s="4"/>
      <c r="Q2" s="4"/>
      <c r="R2" s="4"/>
      <c r="S2" s="4"/>
      <c r="T2" s="4"/>
      <c r="U2" s="4"/>
    </row>
    <row r="3" s="195" customFormat="1" ht="39" customHeight="1" spans="1:21">
      <c r="A3" s="205" t="s">
        <v>38</v>
      </c>
      <c r="B3" s="206" t="s">
        <v>39</v>
      </c>
      <c r="C3" s="206" t="s">
        <v>40</v>
      </c>
      <c r="D3" s="206" t="s">
        <v>41</v>
      </c>
      <c r="E3" s="206" t="s">
        <v>42</v>
      </c>
      <c r="F3" s="206" t="s">
        <v>43</v>
      </c>
      <c r="G3" s="206" t="s">
        <v>44</v>
      </c>
      <c r="H3" s="206" t="s">
        <v>45</v>
      </c>
      <c r="I3" s="207" t="s">
        <v>46</v>
      </c>
      <c r="J3" s="206"/>
      <c r="K3" s="206" t="s">
        <v>47</v>
      </c>
      <c r="L3" s="208" t="s">
        <v>48</v>
      </c>
      <c r="M3" s="209" t="s">
        <v>49</v>
      </c>
      <c r="N3" s="210" t="s">
        <v>50</v>
      </c>
      <c r="O3" s="209" t="s">
        <v>51</v>
      </c>
      <c r="P3" s="133"/>
      <c r="Q3" s="133"/>
      <c r="R3" s="133"/>
      <c r="S3" s="133"/>
      <c r="T3" s="133"/>
      <c r="U3" s="133"/>
    </row>
    <row r="4" s="196" customFormat="1" ht="28" customHeight="1" spans="1:21">
      <c r="A4" s="211"/>
      <c r="B4" s="212" t="s">
        <v>52</v>
      </c>
      <c r="C4" s="207" t="s">
        <v>46</v>
      </c>
      <c r="D4" s="207" t="s">
        <v>41</v>
      </c>
      <c r="E4" s="207" t="s">
        <v>46</v>
      </c>
      <c r="F4" s="207" t="s">
        <v>46</v>
      </c>
      <c r="G4" s="207"/>
      <c r="H4" s="212" t="s">
        <v>46</v>
      </c>
      <c r="I4" s="207"/>
      <c r="J4" s="207" t="s">
        <v>53</v>
      </c>
      <c r="K4" s="213"/>
      <c r="L4" s="214"/>
      <c r="M4" s="205"/>
      <c r="N4" s="215"/>
      <c r="O4" s="205"/>
    </row>
    <row r="5" s="96" customFormat="1" ht="14.25" spans="1:21">
      <c r="A5" s="216" t="s">
        <v>54</v>
      </c>
      <c r="B5" s="217">
        <v>110.2</v>
      </c>
      <c r="C5" s="217">
        <v>1724</v>
      </c>
      <c r="D5" s="217">
        <v>639.33</v>
      </c>
      <c r="E5" s="217">
        <v>18672129</v>
      </c>
      <c r="F5" s="217">
        <v>2.35</v>
      </c>
      <c r="G5" s="217">
        <v>2243064</v>
      </c>
      <c r="H5" s="217">
        <v>8157145</v>
      </c>
      <c r="I5" s="217">
        <v>11350492</v>
      </c>
      <c r="J5" s="217">
        <v>3359</v>
      </c>
      <c r="K5" s="217">
        <v>7071</v>
      </c>
      <c r="L5" s="217">
        <v>57.02</v>
      </c>
      <c r="M5" s="217">
        <v>4936</v>
      </c>
      <c r="N5" s="217">
        <v>20681</v>
      </c>
      <c r="O5" s="217">
        <v>90.13</v>
      </c>
      <c r="P5" s="4">
        <v>186</v>
      </c>
      <c r="Q5" s="4"/>
      <c r="R5" s="4"/>
      <c r="S5" s="4"/>
      <c r="T5" s="4"/>
      <c r="U5" s="4"/>
    </row>
    <row r="6" s="96" customFormat="1" ht="14.25" spans="1:21">
      <c r="A6" s="216" t="s">
        <v>55</v>
      </c>
      <c r="B6" s="217">
        <v>203.4</v>
      </c>
      <c r="C6" s="217">
        <v>1573</v>
      </c>
      <c r="D6" s="217">
        <v>1293.32</v>
      </c>
      <c r="E6" s="217">
        <v>32735772</v>
      </c>
      <c r="F6" s="217">
        <v>0.72</v>
      </c>
      <c r="G6" s="217">
        <v>5437986</v>
      </c>
      <c r="H6" s="217">
        <v>10722833</v>
      </c>
      <c r="I6" s="217">
        <v>15621577</v>
      </c>
      <c r="J6" s="217">
        <v>3351</v>
      </c>
      <c r="K6" s="217">
        <v>12604</v>
      </c>
      <c r="L6" s="217">
        <v>41.87</v>
      </c>
      <c r="M6" s="217">
        <v>27380</v>
      </c>
      <c r="N6" s="217">
        <v>16144</v>
      </c>
      <c r="O6" s="217">
        <v>88.01</v>
      </c>
      <c r="P6" s="4">
        <v>441</v>
      </c>
      <c r="Q6" s="4"/>
      <c r="R6" s="4"/>
      <c r="S6" s="4"/>
      <c r="T6" s="4"/>
      <c r="U6" s="4"/>
    </row>
    <row r="7" s="96" customFormat="1" ht="14.25" spans="1:21">
      <c r="A7" s="216" t="s">
        <v>56</v>
      </c>
      <c r="B7" s="217">
        <v>674.9</v>
      </c>
      <c r="C7" s="217">
        <v>13066</v>
      </c>
      <c r="D7" s="217">
        <v>516.56</v>
      </c>
      <c r="E7" s="217">
        <v>51691647</v>
      </c>
      <c r="F7" s="217">
        <v>8.05</v>
      </c>
      <c r="G7" s="217">
        <v>5108707</v>
      </c>
      <c r="H7" s="217">
        <v>30629431</v>
      </c>
      <c r="I7" s="217">
        <v>43886168</v>
      </c>
      <c r="J7" s="217">
        <v>3054</v>
      </c>
      <c r="K7" s="217">
        <v>10894</v>
      </c>
      <c r="L7" s="217">
        <v>42.89</v>
      </c>
      <c r="M7" s="217">
        <v>4681</v>
      </c>
      <c r="N7" s="217">
        <v>56385</v>
      </c>
      <c r="O7" s="217">
        <v>93.6</v>
      </c>
      <c r="P7" s="4">
        <v>743</v>
      </c>
      <c r="Q7" s="4"/>
      <c r="R7" s="4"/>
      <c r="S7" s="4"/>
      <c r="T7" s="4"/>
      <c r="U7" s="4"/>
    </row>
    <row r="8" s="96" customFormat="1" ht="14.25" spans="1:21">
      <c r="A8" s="216" t="s">
        <v>57</v>
      </c>
      <c r="B8" s="217">
        <v>1438.7</v>
      </c>
      <c r="C8" s="217">
        <v>6340</v>
      </c>
      <c r="D8" s="217">
        <v>2269.23</v>
      </c>
      <c r="E8" s="217">
        <v>235677000</v>
      </c>
      <c r="F8" s="217">
        <v>0.53</v>
      </c>
      <c r="G8" s="217">
        <v>45855536</v>
      </c>
      <c r="H8" s="217">
        <v>93034907</v>
      </c>
      <c r="I8" s="217">
        <v>60129660</v>
      </c>
      <c r="J8" s="217">
        <v>17789</v>
      </c>
      <c r="K8" s="217">
        <v>38382</v>
      </c>
      <c r="L8" s="217">
        <f>K8/999</f>
        <v>38.4204204204204</v>
      </c>
      <c r="M8" s="217">
        <v>43939</v>
      </c>
      <c r="N8" s="217">
        <v>155360</v>
      </c>
      <c r="O8" s="217">
        <v>89.8</v>
      </c>
      <c r="P8" s="4">
        <v>2467</v>
      </c>
      <c r="Q8" s="4"/>
      <c r="R8" s="4"/>
      <c r="S8" s="4"/>
      <c r="T8" s="4"/>
      <c r="U8" s="4"/>
    </row>
    <row r="9" s="96" customFormat="1" ht="14.25" spans="1:21">
      <c r="A9" s="216" t="s">
        <v>58</v>
      </c>
      <c r="B9" s="217">
        <v>780.6</v>
      </c>
      <c r="C9" s="217">
        <v>11282</v>
      </c>
      <c r="D9" s="217">
        <v>691.93</v>
      </c>
      <c r="E9" s="217">
        <v>86921000</v>
      </c>
      <c r="F9" s="217">
        <v>4.02</v>
      </c>
      <c r="G9" s="217">
        <v>8952450</v>
      </c>
      <c r="H9" s="217">
        <v>33617217</v>
      </c>
      <c r="I9" s="217">
        <v>57660308</v>
      </c>
      <c r="J9" s="217">
        <v>4741</v>
      </c>
      <c r="K9" s="217">
        <v>21939</v>
      </c>
      <c r="L9" s="217">
        <v>44.68</v>
      </c>
      <c r="M9" s="217">
        <v>10989</v>
      </c>
      <c r="N9" s="217">
        <v>64029</v>
      </c>
      <c r="O9" s="217">
        <v>98.63</v>
      </c>
      <c r="P9" s="4">
        <v>904</v>
      </c>
      <c r="Q9" s="4"/>
      <c r="R9" s="4"/>
      <c r="S9" s="4"/>
      <c r="T9" s="4"/>
      <c r="U9" s="4"/>
    </row>
    <row r="10" s="96" customFormat="1" ht="14.25" spans="1:21">
      <c r="A10" s="216" t="s">
        <v>59</v>
      </c>
      <c r="B10" s="217">
        <v>295.1</v>
      </c>
      <c r="C10" s="217">
        <v>7802</v>
      </c>
      <c r="D10" s="217">
        <v>378.17</v>
      </c>
      <c r="E10" s="217">
        <v>12000219</v>
      </c>
      <c r="F10" s="217">
        <v>14.55</v>
      </c>
      <c r="G10" s="217">
        <v>1136584</v>
      </c>
      <c r="H10" s="217">
        <v>5775688</v>
      </c>
      <c r="I10" s="217">
        <v>7916533</v>
      </c>
      <c r="J10" s="217">
        <v>2018</v>
      </c>
      <c r="K10" s="217">
        <v>9566</v>
      </c>
      <c r="L10" s="217">
        <v>92.87</v>
      </c>
      <c r="M10" s="217">
        <v>6273</v>
      </c>
      <c r="N10" s="217">
        <v>65512</v>
      </c>
      <c r="O10" s="217">
        <v>98.38</v>
      </c>
      <c r="P10" s="4">
        <v>306</v>
      </c>
      <c r="Q10" s="4"/>
      <c r="R10" s="4"/>
      <c r="S10" s="4"/>
      <c r="T10" s="4"/>
      <c r="U10" s="4"/>
    </row>
    <row r="11" s="96" customFormat="1" ht="14.25" spans="1:21">
      <c r="A11" s="216" t="s">
        <v>60</v>
      </c>
      <c r="B11" s="217">
        <v>594.3</v>
      </c>
      <c r="C11" s="217">
        <v>12574</v>
      </c>
      <c r="D11" s="217">
        <v>472.63</v>
      </c>
      <c r="E11" s="217">
        <v>76555761</v>
      </c>
      <c r="F11" s="217">
        <v>5.77</v>
      </c>
      <c r="G11" s="217">
        <v>7808645</v>
      </c>
      <c r="H11" s="217">
        <v>28284239</v>
      </c>
      <c r="I11" s="217">
        <v>67736333</v>
      </c>
      <c r="J11" s="217">
        <v>3660</v>
      </c>
      <c r="K11" s="217">
        <v>17733</v>
      </c>
      <c r="L11" s="217">
        <v>44.78</v>
      </c>
      <c r="M11" s="217">
        <v>40150</v>
      </c>
      <c r="N11" s="217">
        <v>94370</v>
      </c>
      <c r="O11" s="217">
        <v>87.32</v>
      </c>
      <c r="P11" s="4">
        <v>698</v>
      </c>
      <c r="Q11" s="4"/>
      <c r="R11" s="4"/>
      <c r="S11" s="4"/>
      <c r="T11" s="4"/>
      <c r="U11" s="4"/>
    </row>
    <row r="13" s="95" customFormat="1" ht="54" spans="1:21">
      <c r="A13" s="39"/>
      <c r="B13" s="39" t="s">
        <v>61</v>
      </c>
      <c r="C13" s="39" t="s">
        <v>52</v>
      </c>
      <c r="D13" s="39" t="s">
        <v>8</v>
      </c>
      <c r="E13" s="39" t="s">
        <v>10</v>
      </c>
      <c r="F13" s="39" t="s">
        <v>11</v>
      </c>
      <c r="G13" s="39" t="s">
        <v>12</v>
      </c>
      <c r="H13" s="39" t="s">
        <v>13</v>
      </c>
      <c r="I13" s="39" t="s">
        <v>14</v>
      </c>
      <c r="J13" s="39" t="s">
        <v>15</v>
      </c>
      <c r="K13" s="39" t="s">
        <v>16</v>
      </c>
      <c r="L13" s="39" t="s">
        <v>17</v>
      </c>
      <c r="M13" s="39" t="s">
        <v>18</v>
      </c>
      <c r="N13" s="39" t="s">
        <v>19</v>
      </c>
      <c r="O13" s="39" t="s">
        <v>20</v>
      </c>
      <c r="P13" s="39" t="s">
        <v>21</v>
      </c>
      <c r="Q13" s="39" t="s">
        <v>22</v>
      </c>
      <c r="R13" s="39" t="s">
        <v>23</v>
      </c>
      <c r="S13" s="39" t="s">
        <v>24</v>
      </c>
      <c r="T13" s="39" t="s">
        <v>25</v>
      </c>
      <c r="U13" s="39" t="s">
        <v>26</v>
      </c>
    </row>
    <row r="14" spans="1:21">
      <c r="A14" s="4" t="s">
        <v>62</v>
      </c>
      <c r="B14" s="4">
        <v>1867.21</v>
      </c>
      <c r="C14" s="4">
        <v>186</v>
      </c>
      <c r="D14" s="4">
        <v>378.79</v>
      </c>
      <c r="E14" s="4">
        <v>1.08</v>
      </c>
      <c r="F14" s="4">
        <v>12059.48</v>
      </c>
      <c r="G14" s="4">
        <v>1135.05</v>
      </c>
      <c r="H14" s="4">
        <v>43855.62</v>
      </c>
      <c r="I14" s="4">
        <v>97.65</v>
      </c>
      <c r="J14" s="4">
        <v>32.52</v>
      </c>
      <c r="K14" s="4">
        <v>16.68</v>
      </c>
      <c r="L14" s="4">
        <v>0.58</v>
      </c>
      <c r="M14" s="4">
        <v>29.85</v>
      </c>
      <c r="N14" s="41">
        <v>0.0783</v>
      </c>
      <c r="O14" s="4">
        <v>57.02</v>
      </c>
      <c r="P14" s="4">
        <v>18.06</v>
      </c>
      <c r="Q14" s="4">
        <v>90.13</v>
      </c>
      <c r="R14" s="4">
        <v>4936</v>
      </c>
      <c r="S14" s="4">
        <v>20681</v>
      </c>
      <c r="T14" s="4">
        <v>99.04</v>
      </c>
      <c r="U14" s="4">
        <v>100</v>
      </c>
    </row>
    <row r="15" spans="1:21">
      <c r="A15" s="4" t="s">
        <v>63</v>
      </c>
      <c r="B15" s="4">
        <v>3273.58</v>
      </c>
      <c r="C15" s="4">
        <v>441</v>
      </c>
      <c r="D15" s="4">
        <v>596.51</v>
      </c>
      <c r="E15" s="4">
        <v>2.08</v>
      </c>
      <c r="F15" s="4">
        <v>12331.04</v>
      </c>
      <c r="G15" s="4">
        <v>1562.16</v>
      </c>
      <c r="H15" s="4">
        <v>24314.81</v>
      </c>
      <c r="I15" s="4">
        <v>99.28</v>
      </c>
      <c r="J15" s="4">
        <v>34.99</v>
      </c>
      <c r="K15" s="4">
        <v>20.71</v>
      </c>
      <c r="L15" s="4">
        <v>0.19</v>
      </c>
      <c r="M15" s="4">
        <v>39.94</v>
      </c>
      <c r="N15" s="41">
        <v>0.0382</v>
      </c>
      <c r="O15" s="4">
        <v>41.87</v>
      </c>
      <c r="P15" s="4">
        <v>7.6</v>
      </c>
      <c r="Q15" s="4">
        <v>88.01</v>
      </c>
      <c r="R15" s="4">
        <v>27380</v>
      </c>
      <c r="S15" s="4">
        <v>16144</v>
      </c>
      <c r="T15" s="4">
        <v>100</v>
      </c>
      <c r="U15" s="4">
        <v>100</v>
      </c>
    </row>
    <row r="16" spans="1:21">
      <c r="A16" s="4" t="s">
        <v>64</v>
      </c>
      <c r="B16" s="4">
        <v>5169.16</v>
      </c>
      <c r="C16" s="4">
        <v>743</v>
      </c>
      <c r="D16" s="4">
        <v>469.21</v>
      </c>
      <c r="E16" s="4">
        <v>0.4</v>
      </c>
      <c r="F16" s="4">
        <v>6875.79</v>
      </c>
      <c r="G16" s="4">
        <v>4388.62</v>
      </c>
      <c r="H16" s="4">
        <v>41224</v>
      </c>
      <c r="I16" s="4">
        <v>91.95</v>
      </c>
      <c r="J16" s="4">
        <v>18.31</v>
      </c>
      <c r="K16" s="4">
        <v>6.52</v>
      </c>
      <c r="L16" s="4">
        <v>0.04</v>
      </c>
      <c r="M16" s="4">
        <v>72.12</v>
      </c>
      <c r="N16" s="41">
        <v>0.0412</v>
      </c>
      <c r="O16" s="4">
        <v>42.89</v>
      </c>
      <c r="P16" s="4">
        <v>4.11</v>
      </c>
      <c r="Q16" s="4">
        <v>93.6</v>
      </c>
      <c r="R16" s="4">
        <v>4681</v>
      </c>
      <c r="S16" s="4">
        <v>56385</v>
      </c>
      <c r="T16" s="4">
        <v>100</v>
      </c>
      <c r="U16" s="4">
        <v>100</v>
      </c>
    </row>
    <row r="17" spans="1:21">
      <c r="A17" s="4" t="s">
        <v>57</v>
      </c>
      <c r="B17" s="4">
        <v>23567.7</v>
      </c>
      <c r="C17" s="4">
        <v>2467</v>
      </c>
      <c r="D17" s="4">
        <v>1323.36</v>
      </c>
      <c r="E17" s="4">
        <v>3.72</v>
      </c>
      <c r="F17" s="4">
        <v>18587.57</v>
      </c>
      <c r="G17" s="4">
        <v>6012.97</v>
      </c>
      <c r="H17" s="4">
        <v>37711.76</v>
      </c>
      <c r="I17" s="4">
        <v>99.47</v>
      </c>
      <c r="J17" s="4">
        <v>58.9</v>
      </c>
      <c r="K17" s="4">
        <v>31.9</v>
      </c>
      <c r="L17" s="4">
        <v>0.053</v>
      </c>
      <c r="M17" s="4">
        <v>0.15</v>
      </c>
      <c r="N17" s="41">
        <v>0.1926</v>
      </c>
      <c r="O17" s="4">
        <v>38.42</v>
      </c>
      <c r="P17" s="4">
        <v>7.21</v>
      </c>
      <c r="Q17" s="4">
        <v>89.8</v>
      </c>
      <c r="R17" s="4">
        <v>43939</v>
      </c>
      <c r="S17" s="4">
        <v>155360</v>
      </c>
      <c r="T17" s="4">
        <v>100</v>
      </c>
      <c r="U17" s="4">
        <v>100</v>
      </c>
    </row>
    <row r="18" spans="1:21">
      <c r="A18" s="4" t="s">
        <v>65</v>
      </c>
      <c r="B18" s="4">
        <v>8692.1</v>
      </c>
      <c r="C18" s="4">
        <v>904</v>
      </c>
      <c r="D18" s="4">
        <v>597.48</v>
      </c>
      <c r="E18" s="4">
        <v>0.77</v>
      </c>
      <c r="F18" s="4">
        <v>9903.15</v>
      </c>
      <c r="G18" s="4">
        <v>5766.03</v>
      </c>
      <c r="H18" s="4">
        <v>37187.19</v>
      </c>
      <c r="I18" s="4">
        <v>95.98</v>
      </c>
      <c r="J18" s="4">
        <v>67.33</v>
      </c>
      <c r="K18" s="4">
        <v>25.23</v>
      </c>
      <c r="L18" s="4">
        <v>0.45</v>
      </c>
      <c r="M18" s="4">
        <v>4.6</v>
      </c>
      <c r="N18" s="41">
        <v>0.0031</v>
      </c>
      <c r="O18" s="4">
        <v>44.68</v>
      </c>
      <c r="P18" s="4">
        <v>5.24</v>
      </c>
      <c r="Q18" s="4">
        <v>98.63</v>
      </c>
      <c r="R18" s="4">
        <v>10989</v>
      </c>
      <c r="S18" s="4">
        <v>64029</v>
      </c>
      <c r="T18" s="4">
        <v>99.96</v>
      </c>
      <c r="U18" s="4">
        <v>100</v>
      </c>
    </row>
    <row r="19" spans="1:21">
      <c r="A19" s="4" t="s">
        <v>59</v>
      </c>
      <c r="B19" s="4">
        <v>1200.02</v>
      </c>
      <c r="C19" s="4">
        <v>306</v>
      </c>
      <c r="D19" s="4">
        <v>364.7</v>
      </c>
      <c r="E19" s="4">
        <v>0.15</v>
      </c>
      <c r="F19" s="4">
        <v>3714.33</v>
      </c>
      <c r="G19" s="4">
        <v>791.65</v>
      </c>
      <c r="H19" s="4">
        <v>18874.8</v>
      </c>
      <c r="I19" s="4">
        <v>85.45</v>
      </c>
      <c r="J19" s="4">
        <v>41.56</v>
      </c>
      <c r="K19" s="4">
        <v>12.4</v>
      </c>
      <c r="L19" s="4">
        <v>6.08</v>
      </c>
      <c r="M19" s="4">
        <v>38.87</v>
      </c>
      <c r="N19" s="41">
        <v>0.0338</v>
      </c>
      <c r="O19" s="42">
        <v>46.5</v>
      </c>
      <c r="P19" s="4">
        <v>6.6</v>
      </c>
      <c r="Q19" s="4">
        <v>98.38</v>
      </c>
      <c r="R19" s="4">
        <v>6273</v>
      </c>
      <c r="S19" s="4">
        <v>65512</v>
      </c>
      <c r="T19" s="4">
        <v>100</v>
      </c>
      <c r="U19" s="4">
        <v>100</v>
      </c>
    </row>
    <row r="20" ht="14.25" spans="1:21">
      <c r="A20" s="4" t="s">
        <v>66</v>
      </c>
      <c r="B20" s="4">
        <v>7655.58</v>
      </c>
      <c r="C20" s="4">
        <v>698</v>
      </c>
      <c r="D20" s="4">
        <v>402.41</v>
      </c>
      <c r="E20" s="4">
        <v>0.61</v>
      </c>
      <c r="F20" s="4">
        <v>11187.17</v>
      </c>
      <c r="G20" s="4">
        <v>6773.63</v>
      </c>
      <c r="H20" s="4">
        <v>40521.83</v>
      </c>
      <c r="I20" s="4">
        <v>94.23</v>
      </c>
      <c r="J20" s="4">
        <v>50.92</v>
      </c>
      <c r="K20" s="4">
        <v>18.39</v>
      </c>
      <c r="L20" s="4">
        <v>1.53</v>
      </c>
      <c r="M20" s="4">
        <v>24.6</v>
      </c>
      <c r="N20" s="41">
        <v>0.0295</v>
      </c>
      <c r="O20" s="4">
        <v>44.78</v>
      </c>
      <c r="P20" s="4">
        <v>5.24</v>
      </c>
      <c r="Q20" s="4">
        <v>87.32</v>
      </c>
      <c r="R20" s="4">
        <v>40150</v>
      </c>
      <c r="S20" s="4">
        <v>94370</v>
      </c>
      <c r="T20" s="4">
        <v>99.96</v>
      </c>
      <c r="U20" s="4">
        <v>99.44</v>
      </c>
    </row>
    <row r="21" ht="14.25" spans="1:21">
      <c r="A21" s="4">
        <v>186</v>
      </c>
      <c r="B21" s="217">
        <v>110.2</v>
      </c>
      <c r="C21" s="4">
        <f t="shared" ref="C21:C27" si="0">B21/A21</f>
        <v>0.59247311827957</v>
      </c>
      <c r="D21" s="4">
        <f t="shared" ref="D21:D27" si="1">ROUND(D14*C21,2)</f>
        <v>224.42</v>
      </c>
      <c r="E21" s="4">
        <f>ROUND(E5/10000/C5,2)</f>
        <v>1.08</v>
      </c>
      <c r="F21" s="4">
        <f t="shared" ref="F21:F27" si="2">ROUND(F14*C21,2)</f>
        <v>7144.92</v>
      </c>
      <c r="H21" s="4">
        <f t="shared" ref="H21:H27" si="3">ROUND(H14*C21,2)</f>
        <v>25983.28</v>
      </c>
      <c r="P21" s="4">
        <f t="shared" ref="P21:P27" si="4">ROUND(P14*C21,2)</f>
        <v>10.7</v>
      </c>
    </row>
    <row r="22" ht="14.25" spans="1:21">
      <c r="A22" s="4">
        <v>441</v>
      </c>
      <c r="B22" s="217">
        <v>203.4</v>
      </c>
      <c r="C22" s="4">
        <f t="shared" si="0"/>
        <v>0.461224489795918</v>
      </c>
      <c r="D22" s="4">
        <f t="shared" si="1"/>
        <v>275.13</v>
      </c>
      <c r="E22" s="4">
        <f t="shared" ref="E22:E27" si="5">ROUND(E6/10000/C6,2)</f>
        <v>2.08</v>
      </c>
      <c r="F22" s="4">
        <f t="shared" si="2"/>
        <v>5687.38</v>
      </c>
      <c r="H22" s="4">
        <f t="shared" si="3"/>
        <v>11214.59</v>
      </c>
      <c r="P22" s="4">
        <f t="shared" si="4"/>
        <v>3.51</v>
      </c>
    </row>
    <row r="23" ht="14.25" spans="1:21">
      <c r="A23" s="4">
        <v>743</v>
      </c>
      <c r="B23" s="217">
        <v>674.9</v>
      </c>
      <c r="C23" s="4">
        <f t="shared" si="0"/>
        <v>0.908344549125168</v>
      </c>
      <c r="D23" s="4">
        <f t="shared" si="1"/>
        <v>426.2</v>
      </c>
      <c r="E23" s="4">
        <f t="shared" si="5"/>
        <v>0.4</v>
      </c>
      <c r="F23" s="4">
        <f t="shared" si="2"/>
        <v>6245.59</v>
      </c>
      <c r="H23" s="4">
        <f t="shared" si="3"/>
        <v>37445.6</v>
      </c>
      <c r="P23" s="4">
        <f t="shared" si="4"/>
        <v>3.73</v>
      </c>
    </row>
    <row r="24" ht="14.25" spans="1:21">
      <c r="A24" s="4">
        <v>2467</v>
      </c>
      <c r="B24" s="217">
        <v>1438.7</v>
      </c>
      <c r="C24" s="4">
        <f t="shared" si="0"/>
        <v>0.583177948925821</v>
      </c>
      <c r="D24" s="4">
        <f t="shared" si="1"/>
        <v>771.75</v>
      </c>
      <c r="E24" s="4">
        <f t="shared" si="5"/>
        <v>3.72</v>
      </c>
      <c r="F24" s="4">
        <f t="shared" si="2"/>
        <v>10839.86</v>
      </c>
      <c r="H24" s="4">
        <f t="shared" si="3"/>
        <v>21992.67</v>
      </c>
      <c r="P24" s="4">
        <f t="shared" si="4"/>
        <v>4.2</v>
      </c>
    </row>
    <row r="25" ht="14.25" spans="1:21">
      <c r="A25" s="4">
        <v>904</v>
      </c>
      <c r="B25" s="217">
        <v>780.6</v>
      </c>
      <c r="C25" s="4">
        <f t="shared" si="0"/>
        <v>0.863495575221239</v>
      </c>
      <c r="D25" s="4">
        <f t="shared" si="1"/>
        <v>515.92</v>
      </c>
      <c r="E25" s="4">
        <f t="shared" si="5"/>
        <v>0.77</v>
      </c>
      <c r="F25" s="4">
        <f t="shared" si="2"/>
        <v>8551.33</v>
      </c>
      <c r="H25" s="4">
        <f t="shared" si="3"/>
        <v>32110.97</v>
      </c>
      <c r="P25" s="4">
        <f t="shared" si="4"/>
        <v>4.52</v>
      </c>
    </row>
    <row r="26" ht="14.25" spans="1:21">
      <c r="A26" s="4">
        <v>306</v>
      </c>
      <c r="B26" s="217">
        <v>295.1</v>
      </c>
      <c r="C26" s="4">
        <f t="shared" si="0"/>
        <v>0.96437908496732</v>
      </c>
      <c r="D26" s="4">
        <f t="shared" si="1"/>
        <v>351.71</v>
      </c>
      <c r="E26" s="4">
        <f t="shared" si="5"/>
        <v>0.15</v>
      </c>
      <c r="F26" s="4">
        <f t="shared" si="2"/>
        <v>3582.02</v>
      </c>
      <c r="H26" s="4">
        <f t="shared" si="3"/>
        <v>18202.46</v>
      </c>
      <c r="P26" s="4">
        <f t="shared" si="4"/>
        <v>6.36</v>
      </c>
    </row>
    <row r="27" ht="14.25" spans="1:21">
      <c r="A27" s="4">
        <v>698</v>
      </c>
      <c r="B27" s="217">
        <v>594.3</v>
      </c>
      <c r="C27" s="4">
        <f t="shared" si="0"/>
        <v>0.851432664756447</v>
      </c>
      <c r="D27" s="4">
        <f t="shared" si="1"/>
        <v>342.63</v>
      </c>
      <c r="E27" s="4">
        <f t="shared" si="5"/>
        <v>0.61</v>
      </c>
      <c r="F27" s="4">
        <f t="shared" si="2"/>
        <v>9525.12</v>
      </c>
      <c r="H27" s="4">
        <f t="shared" si="3"/>
        <v>34501.61</v>
      </c>
      <c r="P27" s="4">
        <f t="shared" si="4"/>
        <v>4.46</v>
      </c>
    </row>
  </sheetData>
  <mergeCells count="18">
    <mergeCell ref="A1:A2"/>
    <mergeCell ref="A3:A4"/>
    <mergeCell ref="B1:B2"/>
    <mergeCell ref="E1:E2"/>
    <mergeCell ref="F1:F2"/>
    <mergeCell ref="G1:G2"/>
    <mergeCell ref="G3:G4"/>
    <mergeCell ref="H1:H2"/>
    <mergeCell ref="I3:I4"/>
    <mergeCell ref="K3:K4"/>
    <mergeCell ref="L3:L4"/>
    <mergeCell ref="M3:M4"/>
    <mergeCell ref="N3:N4"/>
    <mergeCell ref="O1:O2"/>
    <mergeCell ref="O3:O4"/>
    <mergeCell ref="J1:L2"/>
    <mergeCell ref="C1:D2"/>
    <mergeCell ref="M1:N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"/>
  <sheetViews>
    <sheetView workbookViewId="0">
      <selection activeCell="N14" sqref="N14:N20"/>
    </sheetView>
  </sheetViews>
  <sheetFormatPr defaultColWidth="9" defaultRowHeight="13.5"/>
  <cols>
    <col min="1" max="1" width="9" style="4"/>
    <col min="2" max="2" width="9.3716814159292" style="4"/>
    <col min="3" max="3" width="9" style="4"/>
    <col min="4" max="5" width="12.6283185840708" style="4"/>
    <col min="6" max="6" width="9.3716814159292" style="4"/>
    <col min="7" max="7" width="9" style="4"/>
    <col min="8" max="8" width="9.3716814159292" style="4"/>
    <col min="9" max="9" width="13.8761061946903" style="4" customWidth="1"/>
    <col min="10" max="11" width="9" style="4"/>
    <col min="12" max="12" width="11.1238938053097" style="4"/>
    <col min="13" max="22" width="9" style="4"/>
  </cols>
  <sheetData>
    <row r="1" s="160" customFormat="1" ht="16" customHeight="1" spans="1:22">
      <c r="A1" s="163" t="s">
        <v>67</v>
      </c>
      <c r="B1" s="164" t="s">
        <v>30</v>
      </c>
      <c r="C1" s="164" t="s">
        <v>31</v>
      </c>
      <c r="D1" s="164"/>
      <c r="E1" s="164" t="s">
        <v>32</v>
      </c>
      <c r="F1" s="164" t="s">
        <v>68</v>
      </c>
      <c r="G1" s="164" t="s">
        <v>69</v>
      </c>
      <c r="H1" s="164"/>
      <c r="I1" s="165" t="s">
        <v>70</v>
      </c>
      <c r="J1" s="166"/>
      <c r="K1" s="166"/>
      <c r="L1" s="167"/>
      <c r="M1" s="168" t="s">
        <v>71</v>
      </c>
      <c r="N1" s="169"/>
      <c r="O1" s="170"/>
      <c r="P1" s="171"/>
      <c r="Q1" s="171"/>
      <c r="R1" s="171"/>
      <c r="S1" s="171"/>
      <c r="T1" s="171"/>
      <c r="U1" s="171"/>
      <c r="V1" s="171"/>
    </row>
    <row r="2" s="160" customFormat="1" ht="21" customHeight="1" spans="1:22">
      <c r="A2" s="172"/>
      <c r="B2" s="173"/>
      <c r="C2" s="173"/>
      <c r="D2" s="173"/>
      <c r="E2" s="173"/>
      <c r="F2" s="173"/>
      <c r="G2" s="164"/>
      <c r="H2" s="164"/>
      <c r="I2" s="174" t="s">
        <v>72</v>
      </c>
      <c r="J2" s="175"/>
      <c r="K2" s="175"/>
      <c r="L2" s="176"/>
      <c r="M2" s="177"/>
      <c r="N2" s="178"/>
      <c r="O2" s="179"/>
      <c r="P2" s="171"/>
      <c r="Q2" s="171"/>
      <c r="R2" s="171"/>
      <c r="S2" s="171"/>
      <c r="T2" s="171"/>
      <c r="U2" s="171"/>
      <c r="V2" s="171"/>
    </row>
    <row r="3" s="161" customFormat="1" ht="54" customHeight="1" spans="1:22">
      <c r="A3" s="180" t="s">
        <v>73</v>
      </c>
      <c r="B3" s="181" t="s">
        <v>74</v>
      </c>
      <c r="C3" s="181" t="s">
        <v>75</v>
      </c>
      <c r="D3" s="181" t="s">
        <v>76</v>
      </c>
      <c r="E3" s="181" t="s">
        <v>77</v>
      </c>
      <c r="F3" s="181" t="s">
        <v>78</v>
      </c>
      <c r="G3" s="182" t="s">
        <v>79</v>
      </c>
      <c r="H3" s="183" t="s">
        <v>80</v>
      </c>
      <c r="I3" s="183"/>
      <c r="J3" s="184"/>
      <c r="K3" s="181" t="s">
        <v>81</v>
      </c>
      <c r="L3" s="181" t="s">
        <v>82</v>
      </c>
      <c r="M3" s="181" t="s">
        <v>83</v>
      </c>
      <c r="N3" s="181" t="s">
        <v>84</v>
      </c>
      <c r="O3" s="181" t="s">
        <v>85</v>
      </c>
      <c r="P3" s="185"/>
      <c r="Q3" s="185"/>
      <c r="R3" s="185"/>
      <c r="S3" s="185"/>
      <c r="T3" s="185"/>
      <c r="U3" s="185"/>
      <c r="V3" s="185"/>
    </row>
    <row r="4" s="162" customFormat="1" ht="33" customHeight="1" spans="1:22">
      <c r="A4" s="186"/>
      <c r="B4" s="181" t="s">
        <v>86</v>
      </c>
      <c r="C4" s="181" t="s">
        <v>87</v>
      </c>
      <c r="D4" s="181" t="s">
        <v>87</v>
      </c>
      <c r="E4" s="181" t="s">
        <v>87</v>
      </c>
      <c r="F4" s="181" t="s">
        <v>87</v>
      </c>
      <c r="G4" s="181" t="s">
        <v>87</v>
      </c>
      <c r="H4" s="181" t="s">
        <v>87</v>
      </c>
      <c r="I4" s="181" t="s">
        <v>87</v>
      </c>
      <c r="J4" s="181" t="s">
        <v>88</v>
      </c>
      <c r="K4" s="181"/>
      <c r="L4" s="181"/>
      <c r="M4" s="181"/>
      <c r="N4" s="181"/>
      <c r="O4" s="181"/>
    </row>
    <row r="5" s="160" customFormat="1" ht="14.25" customHeight="1" spans="1:22">
      <c r="A5" s="187" t="s">
        <v>89</v>
      </c>
      <c r="B5" s="188">
        <v>112.45</v>
      </c>
      <c r="C5" s="189">
        <v>1732</v>
      </c>
      <c r="D5" s="189">
        <v>646.65</v>
      </c>
      <c r="E5" s="189">
        <v>20254111</v>
      </c>
      <c r="F5" s="189">
        <v>2.23</v>
      </c>
      <c r="G5" s="189">
        <v>2699634</v>
      </c>
      <c r="H5" s="189">
        <v>9132008</v>
      </c>
      <c r="I5" s="189">
        <v>7810227</v>
      </c>
      <c r="J5" s="189">
        <v>3594</v>
      </c>
      <c r="K5" s="189">
        <v>7185</v>
      </c>
      <c r="L5" s="189">
        <v>57.94</v>
      </c>
      <c r="M5" s="189">
        <v>5934</v>
      </c>
      <c r="N5" s="189">
        <v>21946</v>
      </c>
      <c r="O5" s="190"/>
      <c r="P5" s="171">
        <v>189</v>
      </c>
      <c r="Q5" s="171"/>
      <c r="R5" s="171"/>
      <c r="S5" s="171"/>
      <c r="T5" s="171"/>
      <c r="U5" s="171"/>
      <c r="V5" s="171"/>
    </row>
    <row r="6" s="160" customFormat="1" ht="14.25" customHeight="1" spans="1:22">
      <c r="A6" s="187" t="s">
        <v>90</v>
      </c>
      <c r="B6" s="188">
        <v>211.15</v>
      </c>
      <c r="C6" s="189">
        <v>1699</v>
      </c>
      <c r="D6" s="189">
        <v>1241.91</v>
      </c>
      <c r="E6" s="189">
        <v>34660288</v>
      </c>
      <c r="F6" s="189">
        <v>0.69</v>
      </c>
      <c r="G6" s="189">
        <v>6060967</v>
      </c>
      <c r="H6" s="189">
        <v>11684228</v>
      </c>
      <c r="I6" s="189">
        <v>18876528</v>
      </c>
      <c r="J6" s="189">
        <v>3518</v>
      </c>
      <c r="K6" s="189">
        <v>13278</v>
      </c>
      <c r="L6" s="189">
        <v>41.89</v>
      </c>
      <c r="M6" s="189">
        <v>21398</v>
      </c>
      <c r="N6" s="189">
        <v>17028</v>
      </c>
      <c r="O6" s="189">
        <v>93.62</v>
      </c>
      <c r="P6" s="171">
        <v>454</v>
      </c>
      <c r="Q6" s="171"/>
      <c r="R6" s="171"/>
      <c r="S6" s="171"/>
      <c r="T6" s="171"/>
      <c r="U6" s="171"/>
      <c r="V6" s="171"/>
    </row>
    <row r="7" s="160" customFormat="1" ht="14.25" customHeight="1" spans="1:22">
      <c r="A7" s="187" t="s">
        <v>91</v>
      </c>
      <c r="B7" s="188">
        <v>678.36</v>
      </c>
      <c r="C7" s="189">
        <v>12675</v>
      </c>
      <c r="D7" s="189">
        <v>534.91</v>
      </c>
      <c r="E7" s="189">
        <v>56180844</v>
      </c>
      <c r="F7" s="189">
        <v>7.74</v>
      </c>
      <c r="G7" s="189">
        <v>5604635</v>
      </c>
      <c r="H7" s="189">
        <v>34887426</v>
      </c>
      <c r="I7" s="189">
        <v>48536112</v>
      </c>
      <c r="J7" s="189">
        <v>3273</v>
      </c>
      <c r="K7" s="189">
        <v>11288</v>
      </c>
      <c r="L7" s="189">
        <v>43.42</v>
      </c>
      <c r="M7" s="189">
        <v>4439</v>
      </c>
      <c r="N7" s="189">
        <v>55370</v>
      </c>
      <c r="O7" s="189">
        <v>88.2</v>
      </c>
      <c r="P7" s="171">
        <v>780</v>
      </c>
      <c r="Q7" s="171"/>
      <c r="R7" s="171"/>
      <c r="S7" s="171"/>
      <c r="T7" s="171"/>
      <c r="U7" s="171"/>
      <c r="V7" s="171"/>
    </row>
    <row r="8" s="160" customFormat="1" ht="14.25" customHeight="1" spans="1:22">
      <c r="A8" s="191" t="s">
        <v>57</v>
      </c>
      <c r="B8" s="192">
        <v>1442.97</v>
      </c>
      <c r="C8" s="189">
        <v>6341</v>
      </c>
      <c r="D8" s="189">
        <v>2275.67</v>
      </c>
      <c r="E8" s="193">
        <v>251234500</v>
      </c>
      <c r="F8" s="193">
        <v>0.44</v>
      </c>
      <c r="G8" s="193">
        <v>55194964</v>
      </c>
      <c r="H8" s="193">
        <v>101315014</v>
      </c>
      <c r="I8" s="193">
        <v>63493886</v>
      </c>
      <c r="J8" s="193">
        <v>18395</v>
      </c>
      <c r="K8" s="193">
        <v>38452</v>
      </c>
      <c r="L8" s="194">
        <f>K8/999</f>
        <v>38.4904904904905</v>
      </c>
      <c r="M8" s="189">
        <v>46900</v>
      </c>
      <c r="N8" s="189">
        <v>104900</v>
      </c>
      <c r="O8" s="193">
        <v>91</v>
      </c>
      <c r="P8" s="171">
        <v>2458</v>
      </c>
      <c r="Q8" s="171"/>
      <c r="R8" s="171"/>
      <c r="S8" s="171"/>
      <c r="T8" s="171"/>
      <c r="U8" s="171"/>
      <c r="V8" s="171"/>
    </row>
    <row r="9" s="160" customFormat="1" ht="14.25" customHeight="1" spans="1:22">
      <c r="A9" s="187" t="s">
        <v>92</v>
      </c>
      <c r="B9" s="188">
        <v>783.09</v>
      </c>
      <c r="C9" s="189">
        <v>11282</v>
      </c>
      <c r="D9" s="189">
        <v>694.03</v>
      </c>
      <c r="E9" s="189">
        <v>93000700</v>
      </c>
      <c r="F9" s="189">
        <v>3.91</v>
      </c>
      <c r="G9" s="189">
        <v>10063220</v>
      </c>
      <c r="H9" s="189">
        <v>37136940</v>
      </c>
      <c r="I9" s="189">
        <v>65556685</v>
      </c>
      <c r="J9" s="189">
        <v>4803</v>
      </c>
      <c r="K9" s="189">
        <v>22339</v>
      </c>
      <c r="L9" s="189">
        <v>39.47</v>
      </c>
      <c r="M9" s="189">
        <v>10566</v>
      </c>
      <c r="N9" s="189">
        <v>64029</v>
      </c>
      <c r="O9" s="189">
        <v>95.86</v>
      </c>
      <c r="P9" s="171">
        <v>920</v>
      </c>
      <c r="Q9" s="171"/>
      <c r="R9" s="171"/>
      <c r="S9" s="171"/>
      <c r="T9" s="171"/>
      <c r="U9" s="171"/>
      <c r="V9" s="171"/>
    </row>
    <row r="10" s="160" customFormat="1" ht="14.25" customHeight="1" spans="1:22">
      <c r="A10" s="187" t="s">
        <v>93</v>
      </c>
      <c r="B10" s="188">
        <v>295.64</v>
      </c>
      <c r="C10" s="189">
        <v>7802</v>
      </c>
      <c r="D10" s="189">
        <v>379.39</v>
      </c>
      <c r="E10" s="189">
        <v>12504439</v>
      </c>
      <c r="F10" s="189">
        <v>14.21</v>
      </c>
      <c r="G10" s="189">
        <v>1143620</v>
      </c>
      <c r="H10" s="189">
        <v>6338190</v>
      </c>
      <c r="I10" s="189">
        <v>8743325</v>
      </c>
      <c r="J10" s="189">
        <v>2131</v>
      </c>
      <c r="K10" s="189">
        <v>5262</v>
      </c>
      <c r="L10" s="189">
        <v>40.17</v>
      </c>
      <c r="M10" s="189">
        <v>7264</v>
      </c>
      <c r="N10" s="189">
        <v>46689</v>
      </c>
      <c r="O10" s="189">
        <v>96.17</v>
      </c>
      <c r="P10" s="171">
        <v>306</v>
      </c>
      <c r="Q10" s="171"/>
      <c r="R10" s="171"/>
      <c r="S10" s="171"/>
      <c r="T10" s="171"/>
      <c r="U10" s="171"/>
      <c r="V10" s="171"/>
    </row>
    <row r="11" s="160" customFormat="1" ht="14.25" customHeight="1" spans="1:22">
      <c r="A11" s="187" t="s">
        <v>94</v>
      </c>
      <c r="B11" s="188">
        <v>593.56</v>
      </c>
      <c r="C11" s="189">
        <v>12574</v>
      </c>
      <c r="D11" s="189">
        <v>472.4</v>
      </c>
      <c r="E11" s="189">
        <v>77316363</v>
      </c>
      <c r="F11" s="189">
        <v>5.86</v>
      </c>
      <c r="G11" s="189">
        <v>5799130</v>
      </c>
      <c r="H11" s="189">
        <v>30874997</v>
      </c>
      <c r="I11" s="189">
        <v>45592792</v>
      </c>
      <c r="J11" s="189">
        <v>3666</v>
      </c>
      <c r="K11" s="189">
        <v>17770</v>
      </c>
      <c r="L11" s="189">
        <v>44.87</v>
      </c>
      <c r="M11" s="189">
        <v>34565</v>
      </c>
      <c r="N11" s="189">
        <v>95796</v>
      </c>
      <c r="O11" s="189">
        <v>95</v>
      </c>
      <c r="P11" s="4">
        <v>698</v>
      </c>
      <c r="Q11" s="171"/>
      <c r="R11" s="171"/>
      <c r="S11" s="171"/>
      <c r="T11" s="171"/>
      <c r="U11" s="171"/>
      <c r="V11" s="171"/>
    </row>
    <row r="13" ht="54" spans="1:22">
      <c r="A13" s="39"/>
      <c r="B13" s="39" t="s">
        <v>61</v>
      </c>
      <c r="C13" s="39" t="s">
        <v>52</v>
      </c>
      <c r="D13" s="39" t="s">
        <v>8</v>
      </c>
      <c r="E13" s="39" t="s">
        <v>10</v>
      </c>
      <c r="F13" s="39" t="s">
        <v>11</v>
      </c>
      <c r="G13" s="39" t="s">
        <v>12</v>
      </c>
      <c r="H13" s="39" t="s">
        <v>13</v>
      </c>
      <c r="I13" s="39" t="s">
        <v>14</v>
      </c>
      <c r="J13" s="39" t="s">
        <v>15</v>
      </c>
      <c r="K13" s="39" t="s">
        <v>16</v>
      </c>
      <c r="L13" s="39" t="s">
        <v>17</v>
      </c>
      <c r="M13" s="39" t="s">
        <v>18</v>
      </c>
      <c r="N13" s="39" t="s">
        <v>19</v>
      </c>
      <c r="O13" s="39" t="s">
        <v>20</v>
      </c>
      <c r="P13" s="39" t="s">
        <v>21</v>
      </c>
      <c r="Q13" s="39" t="s">
        <v>22</v>
      </c>
      <c r="R13" s="39" t="s">
        <v>23</v>
      </c>
      <c r="S13" s="39" t="s">
        <v>24</v>
      </c>
      <c r="T13" s="39" t="s">
        <v>25</v>
      </c>
      <c r="U13" s="39" t="s">
        <v>26</v>
      </c>
    </row>
    <row r="14" spans="1:22">
      <c r="A14" s="4" t="s">
        <v>62</v>
      </c>
      <c r="B14" s="4">
        <v>2025.41</v>
      </c>
      <c r="C14" s="171">
        <v>189</v>
      </c>
      <c r="D14" s="4">
        <v>384.74</v>
      </c>
      <c r="E14" s="4">
        <v>1.17</v>
      </c>
      <c r="F14" s="4">
        <v>14283.78</v>
      </c>
      <c r="G14" s="4">
        <v>1305.14</v>
      </c>
      <c r="H14" s="4">
        <v>48317.5</v>
      </c>
      <c r="I14" s="4">
        <v>97.77</v>
      </c>
      <c r="J14" s="4">
        <v>32.97</v>
      </c>
      <c r="K14" s="4">
        <v>17.36</v>
      </c>
      <c r="L14" s="4">
        <v>0.51</v>
      </c>
      <c r="M14" s="4">
        <v>29.54</v>
      </c>
      <c r="N14" s="41">
        <v>0.0792</v>
      </c>
      <c r="O14" s="4">
        <v>57.94</v>
      </c>
      <c r="P14" s="4">
        <v>19.02</v>
      </c>
      <c r="Q14" s="4">
        <v>95.7</v>
      </c>
      <c r="R14" s="4">
        <v>5934</v>
      </c>
      <c r="S14" s="4">
        <v>21946</v>
      </c>
      <c r="T14" s="4">
        <v>98.92</v>
      </c>
      <c r="U14" s="4">
        <v>98.75</v>
      </c>
    </row>
    <row r="15" spans="1:22">
      <c r="A15" s="4" t="s">
        <v>63</v>
      </c>
      <c r="B15" s="4">
        <v>3466.03</v>
      </c>
      <c r="C15" s="171">
        <v>454</v>
      </c>
      <c r="D15" s="4">
        <v>577.6</v>
      </c>
      <c r="E15" s="4">
        <v>2.04</v>
      </c>
      <c r="F15" s="4">
        <v>13350.15</v>
      </c>
      <c r="G15" s="4">
        <v>1887.65</v>
      </c>
      <c r="H15" s="4">
        <v>25736.19</v>
      </c>
      <c r="I15" s="4">
        <v>99.31</v>
      </c>
      <c r="J15" s="4">
        <v>35.13</v>
      </c>
      <c r="K15" s="4">
        <v>21.17</v>
      </c>
      <c r="L15" s="4">
        <v>0.19</v>
      </c>
      <c r="M15" s="4">
        <v>39.61</v>
      </c>
      <c r="N15" s="41">
        <v>0.0364</v>
      </c>
      <c r="O15" s="4">
        <v>41.89</v>
      </c>
      <c r="P15" s="4">
        <v>7.75</v>
      </c>
      <c r="Q15" s="4">
        <v>93.62</v>
      </c>
      <c r="R15" s="4">
        <v>21398</v>
      </c>
      <c r="S15" s="4">
        <v>17028</v>
      </c>
      <c r="T15" s="4">
        <v>99.69</v>
      </c>
      <c r="U15" s="4">
        <v>99.15</v>
      </c>
    </row>
    <row r="16" spans="1:22">
      <c r="A16" s="4" t="s">
        <v>64</v>
      </c>
      <c r="B16" s="4">
        <v>5618.08</v>
      </c>
      <c r="C16" s="171">
        <v>780</v>
      </c>
      <c r="D16" s="4">
        <v>465.21</v>
      </c>
      <c r="E16" s="4">
        <v>0.44</v>
      </c>
      <c r="F16" s="4">
        <v>7185.43</v>
      </c>
      <c r="G16" s="4">
        <v>4853.61</v>
      </c>
      <c r="H16" s="4">
        <v>44727.47</v>
      </c>
      <c r="I16" s="4">
        <v>92.26</v>
      </c>
      <c r="J16" s="4">
        <v>18.84</v>
      </c>
      <c r="K16" s="4">
        <v>6.65</v>
      </c>
      <c r="L16" s="4">
        <v>0.04</v>
      </c>
      <c r="M16" s="4">
        <v>71.53</v>
      </c>
      <c r="N16" s="41">
        <v>0.0416</v>
      </c>
      <c r="O16" s="4">
        <v>43.42</v>
      </c>
      <c r="P16" s="4">
        <v>4.19</v>
      </c>
      <c r="Q16" s="4">
        <v>88.2</v>
      </c>
      <c r="R16" s="4">
        <v>4439</v>
      </c>
      <c r="S16" s="4">
        <v>55370</v>
      </c>
      <c r="T16" s="4">
        <v>99.63</v>
      </c>
      <c r="U16" s="4">
        <v>99.43</v>
      </c>
    </row>
    <row r="17" spans="1:21">
      <c r="A17" s="4" t="s">
        <v>57</v>
      </c>
      <c r="B17" s="4">
        <v>25123.45</v>
      </c>
      <c r="C17" s="171">
        <v>2458</v>
      </c>
      <c r="D17" s="4">
        <v>1335.93</v>
      </c>
      <c r="E17" s="4">
        <v>3.96</v>
      </c>
      <c r="F17" s="4">
        <v>22455.23</v>
      </c>
      <c r="G17" s="4">
        <v>6349.39</v>
      </c>
      <c r="H17" s="4">
        <v>41218.47</v>
      </c>
      <c r="I17" s="4">
        <v>99.56</v>
      </c>
      <c r="J17" s="4">
        <v>58.78</v>
      </c>
      <c r="K17" s="4">
        <v>32.27</v>
      </c>
      <c r="L17" s="4">
        <v>0.054</v>
      </c>
      <c r="M17" s="4">
        <v>0.14</v>
      </c>
      <c r="N17" s="41">
        <v>0.2345</v>
      </c>
      <c r="O17" s="4">
        <v>38.49</v>
      </c>
      <c r="P17" s="4">
        <v>7.48</v>
      </c>
      <c r="Q17" s="4">
        <v>91</v>
      </c>
      <c r="R17" s="4">
        <v>46900</v>
      </c>
      <c r="S17" s="4">
        <v>104900</v>
      </c>
      <c r="T17" s="4">
        <v>99.96</v>
      </c>
      <c r="U17" s="4">
        <v>99.33</v>
      </c>
    </row>
    <row r="18" spans="1:21">
      <c r="A18" s="4" t="s">
        <v>65</v>
      </c>
      <c r="B18" s="4">
        <v>9300.07</v>
      </c>
      <c r="C18" s="171">
        <v>920</v>
      </c>
      <c r="D18" s="4">
        <v>590.75</v>
      </c>
      <c r="E18" s="4">
        <v>0.82</v>
      </c>
      <c r="F18" s="4">
        <v>10938.29</v>
      </c>
      <c r="G18" s="4">
        <v>6555.67</v>
      </c>
      <c r="H18" s="4">
        <v>40366.24</v>
      </c>
      <c r="I18" s="4">
        <v>96.09</v>
      </c>
      <c r="J18" s="4">
        <v>67.22</v>
      </c>
      <c r="K18" s="4">
        <v>25.65</v>
      </c>
      <c r="L18" s="4">
        <v>0.42</v>
      </c>
      <c r="M18" s="4">
        <v>4.64</v>
      </c>
      <c r="N18" s="41">
        <v>0.0033</v>
      </c>
      <c r="O18" s="4">
        <v>39.47</v>
      </c>
      <c r="P18" s="4">
        <v>5.22</v>
      </c>
      <c r="Q18" s="4">
        <v>95.86</v>
      </c>
      <c r="R18" s="4">
        <v>10566</v>
      </c>
      <c r="S18" s="4">
        <v>64029</v>
      </c>
      <c r="T18" s="4">
        <v>100</v>
      </c>
      <c r="U18" s="4">
        <v>99.26</v>
      </c>
    </row>
    <row r="19" spans="1:21">
      <c r="A19" s="4" t="s">
        <v>59</v>
      </c>
      <c r="B19" s="4">
        <v>1250.44</v>
      </c>
      <c r="C19" s="171">
        <v>306</v>
      </c>
      <c r="D19" s="4">
        <v>366.55</v>
      </c>
      <c r="E19" s="4">
        <v>0.16</v>
      </c>
      <c r="F19" s="4">
        <v>3737.32</v>
      </c>
      <c r="G19" s="4">
        <v>874.33</v>
      </c>
      <c r="H19" s="4">
        <v>20713.04</v>
      </c>
      <c r="I19" s="4">
        <v>85.79</v>
      </c>
      <c r="J19" s="4">
        <v>41.63</v>
      </c>
      <c r="K19" s="4">
        <v>12.59</v>
      </c>
      <c r="L19" s="4">
        <v>5.93</v>
      </c>
      <c r="M19" s="4">
        <v>38.75</v>
      </c>
      <c r="N19" s="41">
        <v>0.0353</v>
      </c>
      <c r="O19" s="4">
        <v>40.17</v>
      </c>
      <c r="P19" s="4">
        <v>6.97</v>
      </c>
      <c r="Q19" s="4">
        <v>96.17</v>
      </c>
      <c r="R19" s="4">
        <v>7264</v>
      </c>
      <c r="S19" s="4">
        <v>46689</v>
      </c>
      <c r="T19" s="4">
        <v>99.73</v>
      </c>
      <c r="U19" s="4">
        <v>99.73</v>
      </c>
    </row>
    <row r="20" spans="1:21">
      <c r="A20" s="4" t="s">
        <v>66</v>
      </c>
      <c r="B20" s="4">
        <v>7731.64</v>
      </c>
      <c r="C20" s="4">
        <v>698</v>
      </c>
      <c r="D20" s="4">
        <v>401.72</v>
      </c>
      <c r="E20" s="4">
        <v>0.61</v>
      </c>
      <c r="F20" s="4">
        <v>8308.21</v>
      </c>
      <c r="G20" s="4">
        <v>4559.28</v>
      </c>
      <c r="H20" s="4">
        <v>44233.52</v>
      </c>
      <c r="I20" s="4">
        <v>94.14</v>
      </c>
      <c r="J20" s="4">
        <v>50.84</v>
      </c>
      <c r="K20" s="4">
        <v>18.65</v>
      </c>
      <c r="L20" s="4">
        <v>1.47</v>
      </c>
      <c r="M20" s="4">
        <v>24.59</v>
      </c>
      <c r="N20" s="41">
        <v>0.0299</v>
      </c>
      <c r="O20" s="4">
        <v>44.87</v>
      </c>
      <c r="P20" s="4">
        <v>5.26</v>
      </c>
      <c r="Q20" s="4">
        <v>95</v>
      </c>
      <c r="R20" s="4">
        <v>34565</v>
      </c>
      <c r="S20" s="4">
        <v>95796</v>
      </c>
      <c r="T20" s="4">
        <v>99.85</v>
      </c>
      <c r="U20" s="4">
        <v>99.16</v>
      </c>
    </row>
    <row r="21" spans="1:21">
      <c r="A21" s="171">
        <v>189</v>
      </c>
      <c r="B21" s="188">
        <v>112.45</v>
      </c>
      <c r="C21" s="4">
        <f t="shared" ref="C21:C27" si="0">B21/A21</f>
        <v>0.594973544973545</v>
      </c>
      <c r="D21" s="4">
        <f t="shared" ref="D21:D27" si="1">ROUND(D14*C21,2)</f>
        <v>228.91</v>
      </c>
      <c r="F21" s="4">
        <f t="shared" ref="F21:F27" si="2">ROUND(F14*C21,2)</f>
        <v>8498.47</v>
      </c>
      <c r="H21" s="4">
        <f t="shared" ref="H21:H27" si="3">ROUND(H14*C21,2)</f>
        <v>28747.63</v>
      </c>
      <c r="P21" s="4">
        <f t="shared" ref="P21:P27" si="4">ROUND(P14*C21,2)</f>
        <v>11.32</v>
      </c>
    </row>
    <row r="22" spans="1:21">
      <c r="A22" s="171">
        <v>454</v>
      </c>
      <c r="B22" s="188">
        <v>211.15</v>
      </c>
      <c r="C22" s="4">
        <f t="shared" si="0"/>
        <v>0.465088105726872</v>
      </c>
      <c r="D22" s="4">
        <f t="shared" si="1"/>
        <v>268.63</v>
      </c>
      <c r="F22" s="4">
        <f t="shared" si="2"/>
        <v>6209</v>
      </c>
      <c r="H22" s="4">
        <f t="shared" si="3"/>
        <v>11969.6</v>
      </c>
      <c r="P22" s="4">
        <f t="shared" si="4"/>
        <v>3.6</v>
      </c>
    </row>
    <row r="23" spans="1:21">
      <c r="A23" s="171">
        <v>780</v>
      </c>
      <c r="B23" s="188">
        <v>678.36</v>
      </c>
      <c r="C23" s="4">
        <f t="shared" si="0"/>
        <v>0.869692307692308</v>
      </c>
      <c r="D23" s="4">
        <f t="shared" si="1"/>
        <v>404.59</v>
      </c>
      <c r="F23" s="4">
        <f t="shared" si="2"/>
        <v>6249.11</v>
      </c>
      <c r="H23" s="4">
        <f t="shared" si="3"/>
        <v>38899.14</v>
      </c>
      <c r="P23" s="4">
        <f t="shared" si="4"/>
        <v>3.64</v>
      </c>
    </row>
    <row r="24" spans="1:21">
      <c r="A24" s="171">
        <v>2458</v>
      </c>
      <c r="B24" s="192">
        <v>1442.97</v>
      </c>
      <c r="C24" s="4">
        <f t="shared" si="0"/>
        <v>0.587050447518308</v>
      </c>
      <c r="D24" s="4">
        <f t="shared" si="1"/>
        <v>784.26</v>
      </c>
      <c r="F24" s="4">
        <f t="shared" si="2"/>
        <v>13182.35</v>
      </c>
      <c r="H24" s="4">
        <f t="shared" si="3"/>
        <v>24197.32</v>
      </c>
      <c r="P24" s="4">
        <f t="shared" si="4"/>
        <v>4.39</v>
      </c>
    </row>
    <row r="25" spans="1:21">
      <c r="A25" s="171">
        <v>920</v>
      </c>
      <c r="B25" s="188">
        <v>783.09</v>
      </c>
      <c r="C25" s="4">
        <f t="shared" si="0"/>
        <v>0.851184782608696</v>
      </c>
      <c r="D25" s="4">
        <f t="shared" si="1"/>
        <v>502.84</v>
      </c>
      <c r="F25" s="4">
        <f t="shared" si="2"/>
        <v>9310.51</v>
      </c>
      <c r="H25" s="4">
        <f t="shared" si="3"/>
        <v>34359.13</v>
      </c>
      <c r="P25" s="4">
        <f t="shared" si="4"/>
        <v>4.44</v>
      </c>
    </row>
    <row r="26" spans="1:21">
      <c r="A26" s="171">
        <v>306</v>
      </c>
      <c r="B26" s="188">
        <v>295.64</v>
      </c>
      <c r="C26" s="4">
        <f t="shared" si="0"/>
        <v>0.966143790849673</v>
      </c>
      <c r="D26" s="4">
        <f t="shared" si="1"/>
        <v>354.14</v>
      </c>
      <c r="F26" s="4">
        <f t="shared" si="2"/>
        <v>3610.79</v>
      </c>
      <c r="H26" s="4">
        <f t="shared" si="3"/>
        <v>20011.77</v>
      </c>
      <c r="P26" s="4">
        <f t="shared" si="4"/>
        <v>6.73</v>
      </c>
    </row>
    <row r="27" spans="1:21">
      <c r="A27" s="4">
        <v>698</v>
      </c>
      <c r="B27" s="188">
        <v>593.56</v>
      </c>
      <c r="C27" s="4">
        <f t="shared" si="0"/>
        <v>0.850372492836676</v>
      </c>
      <c r="D27" s="4">
        <f t="shared" si="1"/>
        <v>341.61</v>
      </c>
      <c r="F27" s="4">
        <f t="shared" si="2"/>
        <v>7065.07</v>
      </c>
      <c r="H27" s="4">
        <f t="shared" si="3"/>
        <v>37614.97</v>
      </c>
      <c r="P27" s="4">
        <f t="shared" si="4"/>
        <v>4.47</v>
      </c>
    </row>
  </sheetData>
  <mergeCells count="17">
    <mergeCell ref="A1:A2"/>
    <mergeCell ref="A3:A4"/>
    <mergeCell ref="B1:B2"/>
    <mergeCell ref="E1:E2"/>
    <mergeCell ref="F1:F2"/>
    <mergeCell ref="G1:G2"/>
    <mergeCell ref="H1:H2"/>
    <mergeCell ref="I2:I3"/>
    <mergeCell ref="K3:K4"/>
    <mergeCell ref="L3:L4"/>
    <mergeCell ref="M3:M4"/>
    <mergeCell ref="N3:N4"/>
    <mergeCell ref="O1:O2"/>
    <mergeCell ref="O3:O4"/>
    <mergeCell ref="C1:D2"/>
    <mergeCell ref="M1:N2"/>
    <mergeCell ref="J1:L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workbookViewId="0">
      <selection activeCell="N14" sqref="N14:N20"/>
    </sheetView>
  </sheetViews>
  <sheetFormatPr defaultColWidth="9" defaultRowHeight="13.5"/>
  <cols>
    <col min="1" max="1" width="9" style="4"/>
    <col min="2" max="2" width="9.3716814159292" style="4"/>
    <col min="3" max="3" width="9" style="4"/>
    <col min="4" max="4" width="11.1238938053097" style="4" customWidth="1"/>
    <col min="5" max="5" width="9" style="4"/>
    <col min="6" max="6" width="9.3716814159292" style="4"/>
    <col min="7" max="7" width="9" style="4"/>
    <col min="8" max="8" width="9.3716814159292" style="4"/>
    <col min="9" max="9" width="9" style="4"/>
    <col min="10" max="10" width="9.24778761061947" style="4"/>
    <col min="11" max="12" width="9" style="4"/>
    <col min="13" max="13" width="9.24778761061947" style="4"/>
    <col min="14" max="21" width="9" style="4"/>
  </cols>
  <sheetData>
    <row r="1" s="96" customFormat="1" ht="19" customHeight="1" spans="1:21">
      <c r="A1" s="135" t="s">
        <v>95</v>
      </c>
      <c r="B1" s="136" t="s">
        <v>30</v>
      </c>
      <c r="C1" s="136" t="s">
        <v>96</v>
      </c>
      <c r="D1" s="137"/>
      <c r="E1" s="137"/>
      <c r="F1" s="137"/>
      <c r="G1" s="136" t="s">
        <v>97</v>
      </c>
      <c r="H1" s="137"/>
      <c r="I1" s="137"/>
      <c r="J1" s="136" t="s">
        <v>32</v>
      </c>
      <c r="K1" s="136" t="s">
        <v>33</v>
      </c>
      <c r="L1" s="136" t="s">
        <v>98</v>
      </c>
      <c r="M1" s="137"/>
      <c r="N1" s="136" t="s">
        <v>35</v>
      </c>
      <c r="O1" s="137"/>
      <c r="P1" s="137"/>
      <c r="Q1" s="137"/>
      <c r="R1" s="138" t="s">
        <v>36</v>
      </c>
      <c r="S1" s="139"/>
      <c r="T1" s="139"/>
      <c r="U1" s="4"/>
    </row>
    <row r="2" s="96" customFormat="1" ht="21" customHeight="1" spans="1:21">
      <c r="A2" s="135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9"/>
      <c r="S2" s="139"/>
      <c r="T2" s="139"/>
      <c r="U2" s="4"/>
    </row>
    <row r="3" s="132" customFormat="1" ht="48" customHeight="1" spans="1:21">
      <c r="A3" s="140" t="s">
        <v>38</v>
      </c>
      <c r="B3" s="141" t="s">
        <v>99</v>
      </c>
      <c r="C3" s="141" t="s">
        <v>40</v>
      </c>
      <c r="D3" s="141"/>
      <c r="E3" s="141" t="s">
        <v>100</v>
      </c>
      <c r="F3" s="141" t="s">
        <v>101</v>
      </c>
      <c r="G3" s="141" t="s">
        <v>102</v>
      </c>
      <c r="H3" s="141"/>
      <c r="I3" s="141" t="s">
        <v>103</v>
      </c>
      <c r="J3" s="142" t="s">
        <v>42</v>
      </c>
      <c r="K3" s="142" t="s">
        <v>104</v>
      </c>
      <c r="L3" s="142" t="s">
        <v>44</v>
      </c>
      <c r="M3" s="141" t="s">
        <v>45</v>
      </c>
      <c r="N3" s="143" t="s">
        <v>37</v>
      </c>
      <c r="O3" s="141"/>
      <c r="P3" s="141" t="s">
        <v>47</v>
      </c>
      <c r="Q3" s="144" t="s">
        <v>48</v>
      </c>
      <c r="R3" s="145" t="s">
        <v>49</v>
      </c>
      <c r="S3" s="146" t="s">
        <v>50</v>
      </c>
      <c r="T3" s="145" t="s">
        <v>51</v>
      </c>
      <c r="U3" s="147"/>
    </row>
    <row r="4" s="133" customFormat="1" ht="30" customHeight="1" spans="1:21">
      <c r="A4" s="142"/>
      <c r="B4" s="148" t="s">
        <v>46</v>
      </c>
      <c r="C4" s="148" t="s">
        <v>46</v>
      </c>
      <c r="D4" s="148" t="s">
        <v>105</v>
      </c>
      <c r="E4" s="149" t="s">
        <v>106</v>
      </c>
      <c r="F4" s="150"/>
      <c r="G4" s="150" t="s">
        <v>100</v>
      </c>
      <c r="H4" s="148" t="s">
        <v>107</v>
      </c>
      <c r="I4" s="150"/>
      <c r="J4" s="148" t="s">
        <v>46</v>
      </c>
      <c r="K4" s="148" t="s">
        <v>46</v>
      </c>
      <c r="L4" s="148" t="s">
        <v>100</v>
      </c>
      <c r="M4" s="148" t="s">
        <v>46</v>
      </c>
      <c r="N4" s="142" t="s">
        <v>46</v>
      </c>
      <c r="O4" s="148" t="s">
        <v>53</v>
      </c>
      <c r="P4" s="151" t="s">
        <v>100</v>
      </c>
      <c r="Q4" s="152"/>
      <c r="R4" s="153"/>
      <c r="S4" s="154"/>
      <c r="T4" s="153"/>
    </row>
    <row r="5" s="134" customFormat="1" ht="15" customHeight="1" spans="1:21">
      <c r="A5" s="155" t="s">
        <v>62</v>
      </c>
      <c r="B5" s="156">
        <v>115</v>
      </c>
      <c r="C5" s="156">
        <v>1732</v>
      </c>
      <c r="D5" s="156">
        <v>1732</v>
      </c>
      <c r="E5" s="156">
        <v>141</v>
      </c>
      <c r="F5" s="156">
        <v>215000</v>
      </c>
      <c r="G5" s="156">
        <v>124</v>
      </c>
      <c r="H5" s="156">
        <v>44</v>
      </c>
      <c r="I5" s="156">
        <v>7.16</v>
      </c>
      <c r="J5" s="156">
        <v>22263708</v>
      </c>
      <c r="K5" s="156">
        <v>1.96</v>
      </c>
      <c r="L5" s="156">
        <v>2923683</v>
      </c>
      <c r="M5" s="156">
        <v>10161281</v>
      </c>
      <c r="N5" s="156">
        <v>13897545</v>
      </c>
      <c r="O5" s="156">
        <v>3604</v>
      </c>
      <c r="P5" s="156">
        <v>6732</v>
      </c>
      <c r="Q5" s="156">
        <v>47.74</v>
      </c>
      <c r="R5" s="156">
        <v>4379</v>
      </c>
      <c r="S5" s="156">
        <v>3734</v>
      </c>
      <c r="T5" s="157" t="s">
        <v>100</v>
      </c>
      <c r="U5" s="158">
        <v>195</v>
      </c>
    </row>
    <row r="6" s="134" customFormat="1" ht="15" customHeight="1" spans="1:21">
      <c r="A6" s="155" t="s">
        <v>63</v>
      </c>
      <c r="B6" s="156">
        <v>221</v>
      </c>
      <c r="C6" s="156">
        <v>1699</v>
      </c>
      <c r="D6" s="156">
        <v>1699</v>
      </c>
      <c r="E6" s="156">
        <v>335</v>
      </c>
      <c r="F6" s="156">
        <v>251290</v>
      </c>
      <c r="G6" s="156">
        <v>351</v>
      </c>
      <c r="H6" s="156">
        <v>93</v>
      </c>
      <c r="I6" s="156">
        <v>20.66</v>
      </c>
      <c r="J6" s="156">
        <v>37842662</v>
      </c>
      <c r="K6" s="156">
        <v>0.61</v>
      </c>
      <c r="L6" s="156">
        <v>6479366</v>
      </c>
      <c r="M6" s="156">
        <v>12834595</v>
      </c>
      <c r="N6" s="156">
        <v>21598097</v>
      </c>
      <c r="O6" s="156">
        <v>3734</v>
      </c>
      <c r="P6" s="156">
        <v>14367</v>
      </c>
      <c r="Q6" s="156">
        <v>42.89</v>
      </c>
      <c r="R6" s="156">
        <v>18259</v>
      </c>
      <c r="S6" s="156">
        <v>4033</v>
      </c>
      <c r="T6" s="156">
        <v>94</v>
      </c>
      <c r="U6" s="158">
        <v>465</v>
      </c>
    </row>
    <row r="7" s="134" customFormat="1" ht="15" customHeight="1" spans="1:21">
      <c r="A7" s="155" t="s">
        <v>64</v>
      </c>
      <c r="B7" s="156">
        <v>687</v>
      </c>
      <c r="C7" s="156">
        <v>12675</v>
      </c>
      <c r="D7" s="156">
        <v>1786</v>
      </c>
      <c r="E7" s="156">
        <v>265</v>
      </c>
      <c r="F7" s="156">
        <v>1734700</v>
      </c>
      <c r="G7" s="156">
        <v>243</v>
      </c>
      <c r="H7" s="156">
        <v>103</v>
      </c>
      <c r="I7" s="156">
        <v>13.61</v>
      </c>
      <c r="J7" s="156">
        <v>61976395</v>
      </c>
      <c r="K7" s="156">
        <v>7.94</v>
      </c>
      <c r="L7" s="156">
        <v>5989113</v>
      </c>
      <c r="M7" s="156">
        <v>37631418</v>
      </c>
      <c r="N7" s="156">
        <v>51843601</v>
      </c>
      <c r="O7" s="156">
        <v>3507</v>
      </c>
      <c r="P7" s="156">
        <v>11639</v>
      </c>
      <c r="Q7" s="156">
        <v>43.92</v>
      </c>
      <c r="R7" s="156">
        <v>3696</v>
      </c>
      <c r="S7" s="156">
        <v>39196</v>
      </c>
      <c r="T7" s="156">
        <v>93.21</v>
      </c>
      <c r="U7" s="158">
        <v>787</v>
      </c>
    </row>
    <row r="8" s="134" customFormat="1" ht="15" customHeight="1" spans="1:21">
      <c r="A8" s="159" t="s">
        <v>57</v>
      </c>
      <c r="B8" s="156">
        <v>1450</v>
      </c>
      <c r="C8" s="156">
        <v>6341</v>
      </c>
      <c r="D8" s="156">
        <v>6341</v>
      </c>
      <c r="E8" s="156">
        <v>999</v>
      </c>
      <c r="F8" s="156">
        <v>610200</v>
      </c>
      <c r="G8" s="156">
        <v>1913</v>
      </c>
      <c r="H8" s="156">
        <v>546</v>
      </c>
      <c r="I8" s="156">
        <v>30.17</v>
      </c>
      <c r="J8" s="156">
        <v>281786500</v>
      </c>
      <c r="K8" s="156">
        <v>0.39</v>
      </c>
      <c r="L8" s="156">
        <v>64061300</v>
      </c>
      <c r="M8" s="156">
        <v>109465690</v>
      </c>
      <c r="N8" s="156">
        <v>67516768</v>
      </c>
      <c r="O8" s="156">
        <v>18957</v>
      </c>
      <c r="P8" s="156">
        <v>38549</v>
      </c>
      <c r="Q8" s="156">
        <v>38.59</v>
      </c>
      <c r="R8" s="156">
        <v>36599</v>
      </c>
      <c r="S8" s="156">
        <v>67376</v>
      </c>
      <c r="T8" s="157" t="s">
        <v>100</v>
      </c>
      <c r="U8" s="158">
        <v>2467</v>
      </c>
    </row>
    <row r="9" s="134" customFormat="1" ht="15" customHeight="1" spans="1:21">
      <c r="A9" s="155" t="s">
        <v>65</v>
      </c>
      <c r="B9" s="156">
        <v>791</v>
      </c>
      <c r="C9" s="156">
        <v>11282</v>
      </c>
      <c r="D9" s="156">
        <v>3293</v>
      </c>
      <c r="E9" s="156">
        <v>599</v>
      </c>
      <c r="F9" s="156">
        <v>65200</v>
      </c>
      <c r="G9" s="156">
        <v>493</v>
      </c>
      <c r="H9" s="156">
        <v>148</v>
      </c>
      <c r="I9" s="156">
        <v>14.97</v>
      </c>
      <c r="J9" s="156">
        <v>100112900</v>
      </c>
      <c r="K9" s="156">
        <v>3.71</v>
      </c>
      <c r="L9" s="156">
        <v>11000303</v>
      </c>
      <c r="M9" s="156">
        <v>41049345</v>
      </c>
      <c r="N9" s="156">
        <v>74547006</v>
      </c>
      <c r="O9" s="156">
        <v>8194</v>
      </c>
      <c r="P9" s="156">
        <v>23112</v>
      </c>
      <c r="Q9" s="156">
        <v>38.58</v>
      </c>
      <c r="R9" s="156">
        <v>6865</v>
      </c>
      <c r="S9" s="156">
        <v>12908</v>
      </c>
      <c r="T9" s="156">
        <v>99.09</v>
      </c>
      <c r="U9" s="158">
        <v>920</v>
      </c>
    </row>
    <row r="10" s="96" customFormat="1" spans="1:21">
      <c r="A10" s="155" t="s">
        <v>59</v>
      </c>
      <c r="B10" s="156">
        <v>298</v>
      </c>
      <c r="C10" s="156">
        <v>7802</v>
      </c>
      <c r="D10" s="156">
        <v>2132</v>
      </c>
      <c r="E10" s="156">
        <v>131</v>
      </c>
      <c r="F10" s="156">
        <v>215300</v>
      </c>
      <c r="G10" s="156">
        <v>131</v>
      </c>
      <c r="H10" s="156">
        <v>39</v>
      </c>
      <c r="I10" s="156">
        <v>6.14</v>
      </c>
      <c r="J10" s="156">
        <v>13493526</v>
      </c>
      <c r="K10" s="156">
        <v>14.52</v>
      </c>
      <c r="L10" s="156">
        <v>1160083</v>
      </c>
      <c r="M10" s="156">
        <v>6998048</v>
      </c>
      <c r="N10" s="156">
        <v>8746590</v>
      </c>
      <c r="O10" s="156">
        <v>2136</v>
      </c>
      <c r="P10" s="156">
        <v>5288</v>
      </c>
      <c r="Q10" s="156">
        <v>40.37</v>
      </c>
      <c r="R10" s="156">
        <v>3902</v>
      </c>
      <c r="S10" s="156">
        <v>24127</v>
      </c>
      <c r="T10" s="156">
        <v>96.6</v>
      </c>
      <c r="U10" s="4">
        <v>308</v>
      </c>
    </row>
    <row r="11" s="96" customFormat="1" spans="1:21">
      <c r="A11" s="155" t="s">
        <v>66</v>
      </c>
      <c r="B11" s="156">
        <v>596</v>
      </c>
      <c r="C11" s="156">
        <v>12574</v>
      </c>
      <c r="D11" s="156">
        <v>2567</v>
      </c>
      <c r="E11" s="156">
        <v>396</v>
      </c>
      <c r="F11" s="156">
        <v>174900</v>
      </c>
      <c r="G11" s="156">
        <v>385</v>
      </c>
      <c r="H11" s="156">
        <v>111</v>
      </c>
      <c r="I11" s="156">
        <v>15</v>
      </c>
      <c r="J11" s="156">
        <v>68101998</v>
      </c>
      <c r="K11" s="156">
        <v>6.8</v>
      </c>
      <c r="L11" s="156">
        <v>6119041</v>
      </c>
      <c r="M11" s="156">
        <v>34101246</v>
      </c>
      <c r="N11" s="156">
        <v>14363557</v>
      </c>
      <c r="O11" s="156">
        <v>3666</v>
      </c>
      <c r="P11" s="156">
        <v>17778</v>
      </c>
      <c r="Q11" s="156">
        <v>44.89</v>
      </c>
      <c r="R11" s="156">
        <v>27709</v>
      </c>
      <c r="S11" s="156">
        <v>51021</v>
      </c>
      <c r="T11" s="156">
        <v>95</v>
      </c>
      <c r="U11" s="4">
        <v>698</v>
      </c>
    </row>
    <row r="13" ht="54" spans="1:21">
      <c r="A13" s="39"/>
      <c r="B13" s="39" t="s">
        <v>61</v>
      </c>
      <c r="C13" s="39" t="s">
        <v>52</v>
      </c>
      <c r="D13" s="39" t="s">
        <v>8</v>
      </c>
      <c r="E13" s="39" t="s">
        <v>10</v>
      </c>
      <c r="F13" s="39" t="s">
        <v>11</v>
      </c>
      <c r="G13" s="39" t="s">
        <v>12</v>
      </c>
      <c r="H13" s="39" t="s">
        <v>13</v>
      </c>
      <c r="I13" s="39" t="s">
        <v>14</v>
      </c>
      <c r="J13" s="39" t="s">
        <v>15</v>
      </c>
      <c r="K13" s="39" t="s">
        <v>16</v>
      </c>
      <c r="L13" s="39" t="s">
        <v>17</v>
      </c>
      <c r="M13" s="39" t="s">
        <v>18</v>
      </c>
      <c r="N13" s="39" t="s">
        <v>19</v>
      </c>
      <c r="O13" s="39" t="s">
        <v>20</v>
      </c>
      <c r="P13" s="39" t="s">
        <v>21</v>
      </c>
      <c r="Q13" s="39" t="s">
        <v>22</v>
      </c>
      <c r="R13" s="39" t="s">
        <v>23</v>
      </c>
      <c r="S13" s="39" t="s">
        <v>24</v>
      </c>
      <c r="T13" s="39" t="s">
        <v>25</v>
      </c>
      <c r="U13" s="39" t="s">
        <v>26</v>
      </c>
    </row>
    <row r="14" spans="1:21">
      <c r="A14" s="4" t="s">
        <v>62</v>
      </c>
      <c r="B14" s="4">
        <v>2226.37</v>
      </c>
      <c r="C14" s="158">
        <v>195</v>
      </c>
      <c r="D14" s="4">
        <v>391.57</v>
      </c>
      <c r="E14" s="4">
        <v>1.29</v>
      </c>
      <c r="F14" s="4">
        <v>14993.25</v>
      </c>
      <c r="G14" s="4">
        <v>1389.75</v>
      </c>
      <c r="H14" s="4">
        <v>52109.14</v>
      </c>
      <c r="I14" s="4">
        <v>98.04</v>
      </c>
      <c r="J14" s="4">
        <v>33.73</v>
      </c>
      <c r="K14" s="4">
        <v>17.9</v>
      </c>
      <c r="L14" s="4">
        <v>0.44</v>
      </c>
      <c r="M14" s="4">
        <v>29.01</v>
      </c>
      <c r="N14" s="41">
        <v>0.0781</v>
      </c>
      <c r="O14" s="40">
        <v>47.74</v>
      </c>
      <c r="P14" s="4">
        <v>18.48</v>
      </c>
      <c r="Q14" s="4">
        <v>96.3</v>
      </c>
      <c r="R14" s="4">
        <v>4379</v>
      </c>
      <c r="S14" s="4">
        <v>3734</v>
      </c>
      <c r="T14" s="4">
        <v>98.63</v>
      </c>
      <c r="U14" s="4">
        <v>97.33</v>
      </c>
    </row>
    <row r="15" spans="1:21">
      <c r="A15" s="4" t="s">
        <v>63</v>
      </c>
      <c r="B15" s="4">
        <v>3784.27</v>
      </c>
      <c r="C15" s="158">
        <v>465</v>
      </c>
      <c r="D15" s="4">
        <v>618.22</v>
      </c>
      <c r="E15" s="4">
        <v>2.23</v>
      </c>
      <c r="F15" s="4">
        <v>13934.12</v>
      </c>
      <c r="G15" s="4">
        <v>2159.81</v>
      </c>
      <c r="H15" s="4">
        <v>27601.28</v>
      </c>
      <c r="I15" s="4">
        <v>99.39</v>
      </c>
      <c r="J15" s="4">
        <v>35.13</v>
      </c>
      <c r="K15" s="4">
        <v>21.71</v>
      </c>
      <c r="L15" s="4">
        <v>0.16</v>
      </c>
      <c r="M15" s="4">
        <v>39.3</v>
      </c>
      <c r="N15" s="41">
        <v>0.0328</v>
      </c>
      <c r="O15" s="40">
        <v>42.89</v>
      </c>
      <c r="P15" s="4">
        <v>8.03</v>
      </c>
      <c r="Q15" s="4">
        <v>94</v>
      </c>
      <c r="R15" s="4">
        <v>18259</v>
      </c>
      <c r="S15" s="4">
        <v>4033</v>
      </c>
      <c r="T15" s="4">
        <v>99.29</v>
      </c>
      <c r="U15" s="4">
        <v>98.38</v>
      </c>
    </row>
    <row r="16" spans="1:21">
      <c r="A16" s="4" t="s">
        <v>64</v>
      </c>
      <c r="B16" s="4">
        <v>6197.64</v>
      </c>
      <c r="C16" s="158">
        <v>787</v>
      </c>
      <c r="D16" s="4">
        <v>473.14</v>
      </c>
      <c r="E16" s="4">
        <v>0.49</v>
      </c>
      <c r="F16" s="4">
        <v>7610.06</v>
      </c>
      <c r="G16" s="4">
        <v>5184.36</v>
      </c>
      <c r="H16" s="4">
        <v>47816.29</v>
      </c>
      <c r="I16" s="4">
        <v>92.06</v>
      </c>
      <c r="J16" s="4">
        <v>18.87</v>
      </c>
      <c r="K16" s="4">
        <v>6.83</v>
      </c>
      <c r="L16" s="4">
        <v>0.03</v>
      </c>
      <c r="M16" s="4">
        <v>71.4</v>
      </c>
      <c r="N16" s="41">
        <v>0.042</v>
      </c>
      <c r="O16" s="40">
        <v>43.92</v>
      </c>
      <c r="P16" s="4">
        <v>4.45</v>
      </c>
      <c r="Q16" s="4">
        <v>93.21</v>
      </c>
      <c r="R16" s="4">
        <v>3696</v>
      </c>
      <c r="S16" s="4">
        <v>39196</v>
      </c>
      <c r="T16" s="4">
        <v>99.52</v>
      </c>
      <c r="U16" s="4">
        <v>99.24</v>
      </c>
    </row>
    <row r="17" spans="1:21">
      <c r="A17" s="4" t="s">
        <v>57</v>
      </c>
      <c r="B17" s="4">
        <v>28178.65</v>
      </c>
      <c r="C17" s="158">
        <v>2467</v>
      </c>
      <c r="D17" s="4">
        <v>1344.03</v>
      </c>
      <c r="E17" s="4">
        <v>4.44</v>
      </c>
      <c r="F17" s="4">
        <v>25967.29</v>
      </c>
      <c r="G17" s="4">
        <v>6751.68</v>
      </c>
      <c r="H17" s="4">
        <v>44371.99</v>
      </c>
      <c r="I17" s="4">
        <v>99.61</v>
      </c>
      <c r="J17" s="4">
        <v>58.6</v>
      </c>
      <c r="K17" s="42">
        <v>32.63</v>
      </c>
      <c r="L17" s="4">
        <v>0.056</v>
      </c>
      <c r="M17" s="4">
        <v>0.15</v>
      </c>
      <c r="N17" s="41">
        <v>0.2421</v>
      </c>
      <c r="O17" s="40">
        <v>38.59</v>
      </c>
      <c r="P17" s="4">
        <v>7.68</v>
      </c>
      <c r="Q17" s="4">
        <v>93.44</v>
      </c>
      <c r="R17" s="4">
        <v>36599</v>
      </c>
      <c r="S17" s="4">
        <v>67376</v>
      </c>
      <c r="T17" s="4">
        <v>99.9</v>
      </c>
      <c r="U17" s="4">
        <v>98.78</v>
      </c>
    </row>
    <row r="18" spans="1:21">
      <c r="A18" s="4" t="s">
        <v>65</v>
      </c>
      <c r="B18" s="4">
        <v>10011.29</v>
      </c>
      <c r="C18" s="158">
        <v>920</v>
      </c>
      <c r="D18" s="4">
        <v>602.81</v>
      </c>
      <c r="E18" s="4">
        <v>0.89</v>
      </c>
      <c r="F18" s="4">
        <v>11956.85</v>
      </c>
      <c r="G18" s="4">
        <v>7454.7</v>
      </c>
      <c r="H18" s="4">
        <v>44618.86</v>
      </c>
      <c r="I18" s="4">
        <v>96.29</v>
      </c>
      <c r="J18" s="4">
        <v>66.99</v>
      </c>
      <c r="K18" s="4">
        <v>26.08</v>
      </c>
      <c r="L18" s="4">
        <v>0.37</v>
      </c>
      <c r="M18" s="4">
        <v>4.7</v>
      </c>
      <c r="N18" s="41">
        <v>0.0031</v>
      </c>
      <c r="O18" s="40">
        <v>38.58</v>
      </c>
      <c r="P18" s="4">
        <v>8.91</v>
      </c>
      <c r="Q18" s="4">
        <v>99.09</v>
      </c>
      <c r="R18" s="4">
        <v>6865</v>
      </c>
      <c r="S18" s="4">
        <v>12908</v>
      </c>
      <c r="T18" s="4">
        <v>99.93</v>
      </c>
      <c r="U18" s="4">
        <v>98.76</v>
      </c>
    </row>
    <row r="19" spans="1:21">
      <c r="A19" s="4" t="s">
        <v>59</v>
      </c>
      <c r="B19" s="4">
        <v>1349.35</v>
      </c>
      <c r="C19" s="4">
        <v>308</v>
      </c>
      <c r="D19" s="4">
        <v>369.55</v>
      </c>
      <c r="E19" s="4">
        <v>0.17</v>
      </c>
      <c r="F19" s="4">
        <v>3766.51</v>
      </c>
      <c r="G19" s="4">
        <v>874.66</v>
      </c>
      <c r="H19" s="4">
        <v>22720.93</v>
      </c>
      <c r="I19" s="4">
        <v>85.48</v>
      </c>
      <c r="J19" s="4">
        <v>41.53</v>
      </c>
      <c r="K19" s="4">
        <v>12.76</v>
      </c>
      <c r="L19" s="4">
        <v>5.89</v>
      </c>
      <c r="M19" s="4">
        <v>38.71</v>
      </c>
      <c r="N19" s="41">
        <v>0.0344</v>
      </c>
      <c r="O19" s="40">
        <v>40.37</v>
      </c>
      <c r="P19" s="4">
        <v>6.94</v>
      </c>
      <c r="Q19" s="4">
        <v>96.6</v>
      </c>
      <c r="R19" s="4">
        <v>3902</v>
      </c>
      <c r="S19" s="4">
        <v>24127</v>
      </c>
      <c r="T19" s="4">
        <v>99.59</v>
      </c>
      <c r="U19" s="4">
        <v>99.61</v>
      </c>
    </row>
    <row r="20" spans="1:21">
      <c r="A20" s="4" t="s">
        <v>66</v>
      </c>
      <c r="B20" s="4">
        <v>6810.2</v>
      </c>
      <c r="C20" s="4">
        <v>698</v>
      </c>
      <c r="D20" s="4">
        <v>404.72</v>
      </c>
      <c r="E20" s="4">
        <v>0.54</v>
      </c>
      <c r="F20" s="4">
        <v>8766.54</v>
      </c>
      <c r="G20" s="4">
        <v>1436.36</v>
      </c>
      <c r="H20" s="4">
        <v>48855.66</v>
      </c>
      <c r="I20" s="4">
        <v>93.2</v>
      </c>
      <c r="J20" s="4">
        <v>50.74</v>
      </c>
      <c r="K20" s="4">
        <v>18.86</v>
      </c>
      <c r="L20" s="4">
        <v>1.53</v>
      </c>
      <c r="M20" s="4">
        <v>24.48</v>
      </c>
      <c r="N20" s="41">
        <v>0.0284</v>
      </c>
      <c r="O20" s="40">
        <v>44.89</v>
      </c>
      <c r="P20" s="4">
        <v>5.25</v>
      </c>
      <c r="Q20" s="4">
        <v>95</v>
      </c>
      <c r="R20" s="4">
        <v>27709</v>
      </c>
      <c r="S20" s="4">
        <v>51021</v>
      </c>
      <c r="T20" s="4">
        <v>99.72</v>
      </c>
      <c r="U20" s="4">
        <v>98.89</v>
      </c>
    </row>
    <row r="21" spans="1:21">
      <c r="A21" s="158">
        <v>195</v>
      </c>
      <c r="B21" s="156">
        <v>115</v>
      </c>
      <c r="C21" s="4">
        <f t="shared" ref="C21:C27" si="0">B21/A21</f>
        <v>0.58974358974359</v>
      </c>
      <c r="D21" s="4">
        <f t="shared" ref="D21:D27" si="1">ROUND(D14*C21,2)</f>
        <v>230.93</v>
      </c>
      <c r="F21" s="4">
        <f t="shared" ref="F21:F27" si="2">ROUND(F14*C21,2)</f>
        <v>8842.17</v>
      </c>
      <c r="H21" s="4">
        <f t="shared" ref="H21:H27" si="3">ROUND(H14*C21,2)</f>
        <v>30731.03</v>
      </c>
      <c r="P21" s="4">
        <f t="shared" ref="P21:P27" si="4">ROUND(P14*C21,2)</f>
        <v>10.9</v>
      </c>
    </row>
    <row r="22" spans="1:21">
      <c r="A22" s="158">
        <v>465</v>
      </c>
      <c r="B22" s="156">
        <v>221</v>
      </c>
      <c r="C22" s="4">
        <f t="shared" si="0"/>
        <v>0.475268817204301</v>
      </c>
      <c r="D22" s="4">
        <f t="shared" si="1"/>
        <v>293.82</v>
      </c>
      <c r="F22" s="4">
        <f t="shared" si="2"/>
        <v>6622.45</v>
      </c>
      <c r="H22" s="4">
        <f t="shared" si="3"/>
        <v>13118.03</v>
      </c>
      <c r="P22" s="4">
        <f t="shared" si="4"/>
        <v>3.82</v>
      </c>
    </row>
    <row r="23" spans="1:21">
      <c r="A23" s="158">
        <v>787</v>
      </c>
      <c r="B23" s="156">
        <v>687</v>
      </c>
      <c r="C23" s="4">
        <f t="shared" si="0"/>
        <v>0.872935196950445</v>
      </c>
      <c r="D23" s="4">
        <f t="shared" si="1"/>
        <v>413.02</v>
      </c>
      <c r="F23" s="4">
        <f t="shared" si="2"/>
        <v>6643.09</v>
      </c>
      <c r="H23" s="4">
        <f t="shared" si="3"/>
        <v>41740.52</v>
      </c>
      <c r="P23" s="4">
        <f t="shared" si="4"/>
        <v>3.88</v>
      </c>
    </row>
    <row r="24" spans="1:21">
      <c r="A24" s="158">
        <v>2467</v>
      </c>
      <c r="B24" s="156">
        <v>1450</v>
      </c>
      <c r="C24" s="4">
        <f t="shared" si="0"/>
        <v>0.587758411025537</v>
      </c>
      <c r="D24" s="4">
        <f t="shared" si="1"/>
        <v>789.96</v>
      </c>
      <c r="F24" s="4">
        <f t="shared" si="2"/>
        <v>15262.49</v>
      </c>
      <c r="H24" s="4">
        <f t="shared" si="3"/>
        <v>26080.01</v>
      </c>
      <c r="P24" s="4">
        <f t="shared" si="4"/>
        <v>4.51</v>
      </c>
    </row>
    <row r="25" spans="1:21">
      <c r="A25" s="158">
        <v>920</v>
      </c>
      <c r="B25" s="156">
        <v>791</v>
      </c>
      <c r="C25" s="4">
        <f t="shared" si="0"/>
        <v>0.859782608695652</v>
      </c>
      <c r="D25" s="4">
        <f t="shared" si="1"/>
        <v>518.29</v>
      </c>
      <c r="F25" s="4">
        <f t="shared" si="2"/>
        <v>10280.29</v>
      </c>
      <c r="H25" s="4">
        <f t="shared" si="3"/>
        <v>38362.52</v>
      </c>
      <c r="P25" s="4">
        <f t="shared" si="4"/>
        <v>7.66</v>
      </c>
    </row>
    <row r="26" spans="1:21">
      <c r="A26" s="4">
        <v>308</v>
      </c>
      <c r="B26" s="156">
        <v>298</v>
      </c>
      <c r="C26" s="4">
        <f t="shared" si="0"/>
        <v>0.967532467532468</v>
      </c>
      <c r="D26" s="4">
        <f t="shared" si="1"/>
        <v>357.55</v>
      </c>
      <c r="F26" s="4">
        <f t="shared" si="2"/>
        <v>3644.22</v>
      </c>
      <c r="H26" s="4">
        <f t="shared" si="3"/>
        <v>21983.24</v>
      </c>
      <c r="P26" s="4">
        <f t="shared" si="4"/>
        <v>6.71</v>
      </c>
    </row>
    <row r="27" spans="1:21">
      <c r="A27" s="4">
        <v>698</v>
      </c>
      <c r="B27" s="156">
        <v>596</v>
      </c>
      <c r="C27" s="4">
        <f t="shared" si="0"/>
        <v>0.853868194842407</v>
      </c>
      <c r="D27" s="4">
        <f t="shared" si="1"/>
        <v>345.58</v>
      </c>
      <c r="F27" s="4">
        <f t="shared" si="2"/>
        <v>7485.47</v>
      </c>
      <c r="H27" s="4">
        <f t="shared" si="3"/>
        <v>41716.29</v>
      </c>
      <c r="P27" s="4">
        <f t="shared" si="4"/>
        <v>4.48</v>
      </c>
    </row>
  </sheetData>
  <mergeCells count="18">
    <mergeCell ref="C3:E3"/>
    <mergeCell ref="G3:H3"/>
    <mergeCell ref="A1:A2"/>
    <mergeCell ref="A3:A4"/>
    <mergeCell ref="B1:B2"/>
    <mergeCell ref="J1:J2"/>
    <mergeCell ref="K1:K2"/>
    <mergeCell ref="L1:L2"/>
    <mergeCell ref="M1:M2"/>
    <mergeCell ref="N1:N2"/>
    <mergeCell ref="R3:R4"/>
    <mergeCell ref="S3:S4"/>
    <mergeCell ref="T1:T2"/>
    <mergeCell ref="T3:T4"/>
    <mergeCell ref="C1:F2"/>
    <mergeCell ref="G1:I2"/>
    <mergeCell ref="R1:S2"/>
    <mergeCell ref="O1:Q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workbookViewId="0">
      <selection activeCell="N14" sqref="N14:N20"/>
    </sheetView>
  </sheetViews>
  <sheetFormatPr defaultColWidth="9" defaultRowHeight="13.5"/>
  <cols>
    <col min="1" max="1" width="9" style="4"/>
    <col min="2" max="2" width="9.3716814159292" style="4"/>
    <col min="3" max="3" width="9" style="4"/>
    <col min="4" max="4" width="8.3716814159292" style="4" customWidth="1"/>
    <col min="5" max="5" width="9" style="4" customWidth="1"/>
    <col min="6" max="8" width="9.3716814159292" style="4"/>
    <col min="9" max="21" width="9" style="4"/>
  </cols>
  <sheetData>
    <row r="1" s="115" customFormat="1" ht="32" customHeight="1" spans="1:21">
      <c r="A1" s="118" t="s">
        <v>108</v>
      </c>
      <c r="B1" s="118"/>
      <c r="C1" s="119" t="s">
        <v>109</v>
      </c>
      <c r="D1" s="119" t="s">
        <v>96</v>
      </c>
      <c r="E1" s="119"/>
      <c r="F1" s="119"/>
      <c r="G1" s="119"/>
      <c r="H1" s="119"/>
      <c r="I1" s="119"/>
      <c r="J1" s="120" t="s">
        <v>110</v>
      </c>
      <c r="K1" s="120"/>
      <c r="L1" s="120"/>
      <c r="M1" s="119" t="s">
        <v>111</v>
      </c>
      <c r="N1" s="119" t="s">
        <v>112</v>
      </c>
      <c r="O1" s="120" t="s">
        <v>113</v>
      </c>
      <c r="P1" s="119" t="s">
        <v>114</v>
      </c>
      <c r="Q1" s="121"/>
      <c r="R1" s="121"/>
      <c r="S1" s="121"/>
      <c r="T1" s="121"/>
      <c r="U1" s="121"/>
    </row>
    <row r="2" s="116" customFormat="1" ht="25" customHeight="1" spans="1:21">
      <c r="A2" s="118"/>
      <c r="B2" s="118"/>
      <c r="C2" s="119"/>
      <c r="D2" s="119"/>
      <c r="E2" s="119"/>
      <c r="F2" s="119"/>
      <c r="G2" s="119"/>
      <c r="H2" s="119"/>
      <c r="I2" s="119"/>
      <c r="J2" s="120"/>
      <c r="K2" s="120"/>
      <c r="L2" s="120"/>
      <c r="M2" s="119"/>
      <c r="N2" s="119"/>
      <c r="O2" s="120"/>
      <c r="P2" s="122" t="s">
        <v>115</v>
      </c>
    </row>
    <row r="3" s="117" customFormat="1" ht="54.75" customHeight="1" spans="1:21">
      <c r="A3" s="123" t="s">
        <v>73</v>
      </c>
      <c r="B3" s="124" t="s">
        <v>116</v>
      </c>
      <c r="C3" s="122" t="s">
        <v>117</v>
      </c>
      <c r="D3" s="122" t="s">
        <v>118</v>
      </c>
      <c r="E3" s="122"/>
      <c r="F3" s="122" t="s">
        <v>119</v>
      </c>
      <c r="G3" s="122" t="s">
        <v>120</v>
      </c>
      <c r="H3" s="122" t="s">
        <v>121</v>
      </c>
      <c r="I3" s="122" t="s">
        <v>122</v>
      </c>
      <c r="J3" s="122" t="s">
        <v>83</v>
      </c>
      <c r="K3" s="122" t="s">
        <v>123</v>
      </c>
      <c r="L3" s="122" t="s">
        <v>124</v>
      </c>
      <c r="M3" s="122" t="s">
        <v>125</v>
      </c>
      <c r="N3" s="122" t="s">
        <v>126</v>
      </c>
      <c r="O3" s="122" t="s">
        <v>127</v>
      </c>
      <c r="P3" s="122"/>
      <c r="Q3" s="116"/>
      <c r="R3" s="116"/>
      <c r="S3" s="116"/>
      <c r="T3" s="116"/>
      <c r="U3" s="116"/>
    </row>
    <row r="4" s="116" customFormat="1" ht="25" customHeight="1" spans="1:21">
      <c r="A4" s="125"/>
      <c r="B4" s="125"/>
      <c r="C4" s="126" t="s">
        <v>46</v>
      </c>
      <c r="D4" s="126" t="s">
        <v>46</v>
      </c>
      <c r="E4" s="126" t="s">
        <v>105</v>
      </c>
      <c r="F4" s="126" t="s">
        <v>105</v>
      </c>
      <c r="G4" s="122" t="s">
        <v>105</v>
      </c>
      <c r="H4" s="122" t="s">
        <v>105</v>
      </c>
      <c r="I4" s="122" t="s">
        <v>105</v>
      </c>
      <c r="J4" s="122" t="s">
        <v>46</v>
      </c>
      <c r="K4" s="122" t="s">
        <v>46</v>
      </c>
      <c r="L4" s="122" t="s">
        <v>46</v>
      </c>
      <c r="M4" s="122" t="s">
        <v>105</v>
      </c>
      <c r="N4" s="122" t="s">
        <v>105</v>
      </c>
      <c r="O4" s="122" t="s">
        <v>46</v>
      </c>
      <c r="P4" s="122" t="s">
        <v>46</v>
      </c>
    </row>
    <row r="5" s="115" customFormat="1" ht="12.75" spans="1:21">
      <c r="A5" s="127" t="s">
        <v>128</v>
      </c>
      <c r="B5" s="128" t="s">
        <v>129</v>
      </c>
      <c r="C5" s="129">
        <v>119</v>
      </c>
      <c r="D5" s="129">
        <v>1736</v>
      </c>
      <c r="E5" s="129">
        <v>1736</v>
      </c>
      <c r="F5" s="129">
        <v>141</v>
      </c>
      <c r="G5" s="129">
        <v>5068</v>
      </c>
      <c r="H5" s="129">
        <v>6812</v>
      </c>
      <c r="I5" s="129">
        <v>48.2</v>
      </c>
      <c r="J5" s="130"/>
      <c r="K5" s="130"/>
      <c r="L5" s="130"/>
      <c r="M5" s="129">
        <v>26751795</v>
      </c>
      <c r="N5" s="129">
        <v>1.83</v>
      </c>
      <c r="O5" s="129">
        <v>3143761</v>
      </c>
      <c r="P5" s="129">
        <v>11281763</v>
      </c>
      <c r="Q5" s="121">
        <v>207</v>
      </c>
      <c r="R5" s="121"/>
      <c r="S5" s="121"/>
      <c r="T5" s="121"/>
      <c r="U5" s="121"/>
    </row>
    <row r="6" s="115" customFormat="1" ht="12.75" spans="1:21">
      <c r="A6" s="127" t="s">
        <v>130</v>
      </c>
      <c r="B6" s="128" t="s">
        <v>131</v>
      </c>
      <c r="C6" s="129">
        <v>231</v>
      </c>
      <c r="D6" s="129">
        <v>1701</v>
      </c>
      <c r="E6" s="129">
        <v>1701</v>
      </c>
      <c r="F6" s="129">
        <v>364</v>
      </c>
      <c r="G6" s="129">
        <v>4894</v>
      </c>
      <c r="H6" s="129">
        <v>15180</v>
      </c>
      <c r="I6" s="129">
        <v>43.59</v>
      </c>
      <c r="J6" s="129">
        <v>21465</v>
      </c>
      <c r="K6" s="129">
        <v>2525</v>
      </c>
      <c r="L6" s="129">
        <v>95.77</v>
      </c>
      <c r="M6" s="129">
        <v>43517181</v>
      </c>
      <c r="N6" s="129">
        <v>0.54</v>
      </c>
      <c r="O6" s="129">
        <v>6968660</v>
      </c>
      <c r="P6" s="129">
        <v>14467448</v>
      </c>
      <c r="Q6" s="121">
        <v>478</v>
      </c>
      <c r="R6" s="121"/>
      <c r="S6" s="121"/>
      <c r="T6" s="121"/>
      <c r="U6" s="121"/>
    </row>
    <row r="7" s="115" customFormat="1" ht="12.75" spans="1:21">
      <c r="A7" s="127" t="s">
        <v>132</v>
      </c>
      <c r="B7" s="131" t="s">
        <v>133</v>
      </c>
      <c r="C7" s="129">
        <v>693</v>
      </c>
      <c r="D7" s="129">
        <v>12251</v>
      </c>
      <c r="E7" s="129">
        <v>1756</v>
      </c>
      <c r="F7" s="129">
        <v>291</v>
      </c>
      <c r="G7" s="129">
        <v>4193</v>
      </c>
      <c r="H7" s="129">
        <v>12900</v>
      </c>
      <c r="I7" s="129">
        <v>44.36</v>
      </c>
      <c r="J7" s="129">
        <v>4390</v>
      </c>
      <c r="K7" s="129">
        <v>34137</v>
      </c>
      <c r="L7" s="129">
        <v>82.74</v>
      </c>
      <c r="M7" s="129">
        <v>43005530</v>
      </c>
      <c r="N7" s="129">
        <v>1.39</v>
      </c>
      <c r="O7" s="129">
        <v>6341633</v>
      </c>
      <c r="P7" s="129">
        <v>41938675</v>
      </c>
      <c r="Q7" s="121">
        <v>806</v>
      </c>
      <c r="R7" s="121"/>
      <c r="S7" s="121"/>
      <c r="T7" s="121"/>
      <c r="U7" s="121"/>
    </row>
    <row r="8" s="115" customFormat="1" ht="12.75" spans="1:21">
      <c r="A8" s="127" t="s">
        <v>134</v>
      </c>
      <c r="B8" s="128" t="s">
        <v>135</v>
      </c>
      <c r="C8" s="129">
        <v>1455</v>
      </c>
      <c r="D8" s="129">
        <v>6341</v>
      </c>
      <c r="E8" s="129">
        <v>6341</v>
      </c>
      <c r="F8" s="129">
        <v>999</v>
      </c>
      <c r="G8" s="129">
        <v>19805</v>
      </c>
      <c r="H8" s="129">
        <v>38549</v>
      </c>
      <c r="I8" s="129">
        <v>39.1</v>
      </c>
      <c r="J8" s="129">
        <v>31586</v>
      </c>
      <c r="K8" s="129">
        <v>12651</v>
      </c>
      <c r="L8" s="129">
        <v>94.5</v>
      </c>
      <c r="M8" s="129">
        <v>306329900</v>
      </c>
      <c r="N8" s="129">
        <v>0.36</v>
      </c>
      <c r="O8" s="129">
        <v>66422638</v>
      </c>
      <c r="P8" s="129">
        <v>118303000</v>
      </c>
      <c r="Q8" s="121">
        <v>2466</v>
      </c>
      <c r="R8" s="121"/>
      <c r="S8" s="121"/>
      <c r="T8" s="121"/>
      <c r="U8" s="121"/>
    </row>
    <row r="9" s="115" customFormat="1" ht="12.75" spans="1:21">
      <c r="A9" s="127" t="s">
        <v>136</v>
      </c>
      <c r="B9" s="128" t="s">
        <v>137</v>
      </c>
      <c r="C9" s="129">
        <v>803</v>
      </c>
      <c r="D9" s="129">
        <v>11282</v>
      </c>
      <c r="E9" s="129">
        <v>5225</v>
      </c>
      <c r="F9" s="129">
        <v>638</v>
      </c>
      <c r="G9" s="129">
        <v>7763</v>
      </c>
      <c r="H9" s="129">
        <v>24933</v>
      </c>
      <c r="I9" s="129">
        <v>39.05</v>
      </c>
      <c r="J9" s="129">
        <v>5613</v>
      </c>
      <c r="K9" s="129">
        <v>5137</v>
      </c>
      <c r="L9" s="129">
        <v>97.04</v>
      </c>
      <c r="M9" s="129">
        <v>84991300</v>
      </c>
      <c r="N9" s="129">
        <v>1.81</v>
      </c>
      <c r="O9" s="129">
        <v>11572389</v>
      </c>
      <c r="P9" s="129">
        <v>45410086</v>
      </c>
      <c r="Q9" s="121">
        <v>971</v>
      </c>
      <c r="R9" s="121"/>
      <c r="S9" s="121"/>
      <c r="T9" s="121"/>
      <c r="U9" s="121"/>
    </row>
    <row r="10" s="115" customFormat="1" ht="12.75" spans="1:21">
      <c r="A10" s="127" t="s">
        <v>138</v>
      </c>
      <c r="B10" s="131" t="s">
        <v>139</v>
      </c>
      <c r="C10" s="129">
        <v>298</v>
      </c>
      <c r="D10" s="129">
        <v>7802</v>
      </c>
      <c r="E10" s="129">
        <v>2132</v>
      </c>
      <c r="F10" s="129">
        <v>135</v>
      </c>
      <c r="G10" s="129">
        <v>2257</v>
      </c>
      <c r="H10" s="129">
        <v>5431</v>
      </c>
      <c r="I10" s="129">
        <v>40.24</v>
      </c>
      <c r="J10" s="129">
        <v>2310</v>
      </c>
      <c r="K10" s="129">
        <v>18923</v>
      </c>
      <c r="L10" s="129">
        <v>96.7</v>
      </c>
      <c r="M10" s="129">
        <v>10146857</v>
      </c>
      <c r="N10" s="129">
        <v>6.29</v>
      </c>
      <c r="O10" s="129">
        <v>1185525</v>
      </c>
      <c r="P10" s="129">
        <v>7751785</v>
      </c>
      <c r="Q10" s="121">
        <v>309</v>
      </c>
      <c r="R10" s="121"/>
      <c r="S10" s="121"/>
      <c r="T10" s="121"/>
      <c r="U10" s="121"/>
    </row>
    <row r="11" s="115" customFormat="1" spans="1:21">
      <c r="A11" s="127" t="s">
        <v>140</v>
      </c>
      <c r="B11" s="131" t="s">
        <v>141</v>
      </c>
      <c r="C11" s="129">
        <v>595</v>
      </c>
      <c r="D11" s="129">
        <v>12574</v>
      </c>
      <c r="E11" s="129">
        <v>5244</v>
      </c>
      <c r="F11" s="129">
        <v>404</v>
      </c>
      <c r="G11" s="129">
        <v>4054</v>
      </c>
      <c r="H11" s="129">
        <v>18835</v>
      </c>
      <c r="I11" s="129">
        <v>46.56</v>
      </c>
      <c r="J11" s="129">
        <v>24805</v>
      </c>
      <c r="K11" s="129">
        <v>34282</v>
      </c>
      <c r="L11" s="129">
        <v>95</v>
      </c>
      <c r="M11" s="129">
        <v>53917639</v>
      </c>
      <c r="N11" s="129">
        <v>2.93</v>
      </c>
      <c r="O11" s="129">
        <v>6576367</v>
      </c>
      <c r="P11" s="129">
        <v>37225011</v>
      </c>
      <c r="Q11" s="4">
        <v>698</v>
      </c>
      <c r="R11" s="121"/>
      <c r="S11" s="121"/>
      <c r="T11" s="121"/>
      <c r="U11" s="121"/>
    </row>
    <row r="13" ht="54" spans="1:21">
      <c r="A13" s="39"/>
      <c r="B13" s="39" t="s">
        <v>61</v>
      </c>
      <c r="C13" s="39" t="s">
        <v>52</v>
      </c>
      <c r="D13" s="39" t="s">
        <v>8</v>
      </c>
      <c r="E13" s="39" t="s">
        <v>10</v>
      </c>
      <c r="F13" s="39" t="s">
        <v>11</v>
      </c>
      <c r="G13" s="39" t="s">
        <v>12</v>
      </c>
      <c r="H13" s="39" t="s">
        <v>13</v>
      </c>
      <c r="I13" s="39" t="s">
        <v>14</v>
      </c>
      <c r="J13" s="39" t="s">
        <v>15</v>
      </c>
      <c r="K13" s="39" t="s">
        <v>16</v>
      </c>
      <c r="L13" s="39" t="s">
        <v>17</v>
      </c>
      <c r="M13" s="39" t="s">
        <v>18</v>
      </c>
      <c r="N13" s="39" t="s">
        <v>19</v>
      </c>
      <c r="O13" s="39" t="s">
        <v>20</v>
      </c>
      <c r="P13" s="39" t="s">
        <v>21</v>
      </c>
      <c r="Q13" s="39" t="s">
        <v>22</v>
      </c>
      <c r="R13" s="39" t="s">
        <v>23</v>
      </c>
      <c r="S13" s="39" t="s">
        <v>24</v>
      </c>
      <c r="T13" s="39" t="s">
        <v>25</v>
      </c>
      <c r="U13" s="39" t="s">
        <v>26</v>
      </c>
    </row>
    <row r="14" spans="1:21">
      <c r="A14" s="4" t="s">
        <v>62</v>
      </c>
      <c r="B14" s="4">
        <v>2675.18</v>
      </c>
      <c r="C14" s="121">
        <v>207</v>
      </c>
      <c r="D14" s="4">
        <v>394.07</v>
      </c>
      <c r="E14" s="4">
        <v>1.54</v>
      </c>
      <c r="F14" s="4">
        <v>15187.25</v>
      </c>
      <c r="G14" s="4">
        <v>1662.02</v>
      </c>
      <c r="H14" s="4">
        <v>54501.27</v>
      </c>
      <c r="I14" s="4">
        <v>98.17</v>
      </c>
      <c r="J14" s="4">
        <v>34.4</v>
      </c>
      <c r="K14" s="4">
        <v>18.49</v>
      </c>
      <c r="L14" s="4">
        <v>0.4</v>
      </c>
      <c r="M14" s="4">
        <v>28.4</v>
      </c>
      <c r="N14" s="41">
        <v>0.0759</v>
      </c>
      <c r="O14" s="4">
        <v>48.2</v>
      </c>
      <c r="P14" s="4">
        <v>24.48</v>
      </c>
      <c r="Q14" s="4">
        <v>96.36</v>
      </c>
      <c r="R14" s="4">
        <v>4382</v>
      </c>
      <c r="S14" s="4">
        <v>3963</v>
      </c>
      <c r="T14" s="4">
        <v>98.17</v>
      </c>
      <c r="U14" s="4">
        <v>95.89</v>
      </c>
    </row>
    <row r="15" spans="1:21">
      <c r="A15" s="4" t="s">
        <v>63</v>
      </c>
      <c r="B15" s="4">
        <v>4351.72</v>
      </c>
      <c r="C15" s="121">
        <v>478</v>
      </c>
      <c r="D15" s="4">
        <v>656.28</v>
      </c>
      <c r="E15" s="4">
        <v>2.56</v>
      </c>
      <c r="F15" s="4">
        <v>14578.79</v>
      </c>
      <c r="G15" s="4">
        <v>2381.46</v>
      </c>
      <c r="H15" s="4">
        <v>30266.63</v>
      </c>
      <c r="I15" s="4">
        <v>99.46</v>
      </c>
      <c r="J15" s="4">
        <v>35.2</v>
      </c>
      <c r="K15" s="4">
        <v>22.33</v>
      </c>
      <c r="L15" s="4">
        <v>0.14</v>
      </c>
      <c r="M15" s="4">
        <v>38.89</v>
      </c>
      <c r="N15" s="41">
        <v>0.0355</v>
      </c>
      <c r="O15" s="4">
        <v>43.59</v>
      </c>
      <c r="P15" s="4">
        <v>10.24</v>
      </c>
      <c r="Q15" s="4">
        <v>95.77</v>
      </c>
      <c r="R15" s="4">
        <v>21465</v>
      </c>
      <c r="S15" s="4">
        <v>2525</v>
      </c>
      <c r="T15" s="4">
        <v>98.82</v>
      </c>
      <c r="U15" s="4">
        <v>97.42</v>
      </c>
    </row>
    <row r="16" spans="1:21">
      <c r="A16" s="4" t="s">
        <v>64</v>
      </c>
      <c r="B16" s="4">
        <v>4300.55</v>
      </c>
      <c r="C16" s="121">
        <v>806</v>
      </c>
      <c r="D16" s="4">
        <v>486.36</v>
      </c>
      <c r="E16" s="4">
        <v>0.35</v>
      </c>
      <c r="F16" s="4">
        <v>7868.03</v>
      </c>
      <c r="G16" s="4">
        <v>5823.39</v>
      </c>
      <c r="H16" s="4">
        <v>52033.1</v>
      </c>
      <c r="I16" s="4">
        <v>98.61</v>
      </c>
      <c r="J16" s="4">
        <v>18.98</v>
      </c>
      <c r="K16" s="4">
        <v>7.03</v>
      </c>
      <c r="L16" s="4">
        <v>0.03</v>
      </c>
      <c r="M16" s="4">
        <v>71.19</v>
      </c>
      <c r="N16" s="41">
        <v>0.0415</v>
      </c>
      <c r="O16" s="4">
        <v>44.36</v>
      </c>
      <c r="P16" s="4">
        <v>5.2</v>
      </c>
      <c r="Q16" s="4">
        <v>82.74</v>
      </c>
      <c r="R16" s="4">
        <v>4390</v>
      </c>
      <c r="S16" s="4">
        <v>34137</v>
      </c>
      <c r="T16" s="4">
        <v>99.37</v>
      </c>
      <c r="U16" s="4">
        <v>98.94</v>
      </c>
    </row>
    <row r="17" spans="1:21">
      <c r="A17" s="4" t="s">
        <v>57</v>
      </c>
      <c r="B17" s="4">
        <v>30632.99</v>
      </c>
      <c r="C17" s="121">
        <v>2466</v>
      </c>
      <c r="D17" s="4">
        <v>1353.86</v>
      </c>
      <c r="E17" s="4">
        <v>4.83</v>
      </c>
      <c r="F17" s="4">
        <v>26935.38</v>
      </c>
      <c r="G17" s="42">
        <v>7246.6</v>
      </c>
      <c r="H17" s="4">
        <v>47973.64</v>
      </c>
      <c r="I17" s="4">
        <v>99.64</v>
      </c>
      <c r="J17" s="4">
        <v>58.5</v>
      </c>
      <c r="K17" s="4">
        <v>32.98</v>
      </c>
      <c r="L17" s="4">
        <v>0.052</v>
      </c>
      <c r="M17" s="4">
        <v>0.16</v>
      </c>
      <c r="N17" s="41">
        <v>0.2458</v>
      </c>
      <c r="O17" s="4">
        <v>39.1</v>
      </c>
      <c r="P17" s="4">
        <v>8.03</v>
      </c>
      <c r="Q17" s="4">
        <v>94.5</v>
      </c>
      <c r="R17" s="4">
        <v>31586</v>
      </c>
      <c r="S17" s="4">
        <v>12651</v>
      </c>
      <c r="T17" s="4">
        <v>99.92</v>
      </c>
      <c r="U17" s="4">
        <v>98.16</v>
      </c>
    </row>
    <row r="18" spans="1:21">
      <c r="A18" s="4" t="s">
        <v>65</v>
      </c>
      <c r="B18" s="4">
        <v>8499.13</v>
      </c>
      <c r="C18" s="121">
        <v>971</v>
      </c>
      <c r="D18" s="4">
        <v>588.6</v>
      </c>
      <c r="E18" s="4">
        <v>0.75</v>
      </c>
      <c r="F18" s="4">
        <v>11918.01</v>
      </c>
      <c r="G18" s="4">
        <v>7777.1</v>
      </c>
      <c r="H18" s="4">
        <v>46766.31</v>
      </c>
      <c r="I18" s="4">
        <v>98.19</v>
      </c>
      <c r="J18" s="4">
        <v>66.72</v>
      </c>
      <c r="K18" s="4">
        <v>26.32</v>
      </c>
      <c r="L18" s="4">
        <v>0.33</v>
      </c>
      <c r="M18" s="4">
        <v>4.83</v>
      </c>
      <c r="N18" s="41">
        <v>0.0033</v>
      </c>
      <c r="O18" s="4">
        <v>39.05</v>
      </c>
      <c r="P18" s="4">
        <v>8</v>
      </c>
      <c r="Q18" s="4">
        <v>97.04</v>
      </c>
      <c r="R18" s="4">
        <v>5613</v>
      </c>
      <c r="S18" s="4">
        <v>5137</v>
      </c>
      <c r="T18" s="4">
        <v>99.93</v>
      </c>
      <c r="U18" s="4">
        <v>98.76</v>
      </c>
    </row>
    <row r="19" spans="1:21">
      <c r="A19" s="4" t="s">
        <v>59</v>
      </c>
      <c r="B19" s="4">
        <v>1014.69</v>
      </c>
      <c r="C19" s="121">
        <v>309</v>
      </c>
      <c r="D19" s="4">
        <v>368.35</v>
      </c>
      <c r="E19" s="4">
        <v>0.13</v>
      </c>
      <c r="F19" s="4">
        <v>3836.65</v>
      </c>
      <c r="G19" s="4">
        <v>873.39</v>
      </c>
      <c r="H19" s="4">
        <v>25086.68</v>
      </c>
      <c r="I19" s="4">
        <v>93.71</v>
      </c>
      <c r="J19" s="4">
        <v>41.25</v>
      </c>
      <c r="K19" s="4">
        <v>12.93</v>
      </c>
      <c r="L19" s="4">
        <v>5.83</v>
      </c>
      <c r="M19" s="4">
        <v>38.83</v>
      </c>
      <c r="N19" s="41">
        <v>0.0329</v>
      </c>
      <c r="O19" s="4">
        <v>40.24</v>
      </c>
      <c r="P19" s="4">
        <v>7.3</v>
      </c>
      <c r="Q19" s="4">
        <v>96.7</v>
      </c>
      <c r="R19" s="4">
        <v>2310</v>
      </c>
      <c r="S19" s="4">
        <v>18923</v>
      </c>
      <c r="T19" s="4">
        <v>99.53</v>
      </c>
      <c r="U19" s="4">
        <v>99.7</v>
      </c>
    </row>
    <row r="20" spans="1:21">
      <c r="A20" s="4" t="s">
        <v>66</v>
      </c>
      <c r="B20" s="4">
        <v>5391.76</v>
      </c>
      <c r="C20" s="4">
        <v>698</v>
      </c>
      <c r="D20" s="4">
        <v>403.37</v>
      </c>
      <c r="E20" s="4">
        <v>0.43</v>
      </c>
      <c r="F20" s="4">
        <v>9421.73</v>
      </c>
      <c r="G20" s="4">
        <v>1652.8</v>
      </c>
      <c r="H20" s="4">
        <v>53330.96</v>
      </c>
      <c r="I20" s="4">
        <v>97.07</v>
      </c>
      <c r="J20" s="4">
        <v>50.54</v>
      </c>
      <c r="K20" s="4">
        <v>19.08</v>
      </c>
      <c r="L20" s="4">
        <v>1.52</v>
      </c>
      <c r="M20" s="4">
        <v>24.52</v>
      </c>
      <c r="N20" s="41">
        <v>0.0267</v>
      </c>
      <c r="O20" s="4">
        <v>46.56</v>
      </c>
      <c r="P20" s="4">
        <v>5.81</v>
      </c>
      <c r="Q20" s="4">
        <v>95</v>
      </c>
      <c r="R20" s="4">
        <v>24805</v>
      </c>
      <c r="S20" s="4">
        <v>34282</v>
      </c>
      <c r="T20" s="4">
        <v>99.67</v>
      </c>
      <c r="U20" s="4">
        <v>98.8</v>
      </c>
    </row>
    <row r="21" spans="1:21">
      <c r="A21" s="121">
        <v>207</v>
      </c>
      <c r="B21" s="129">
        <v>119</v>
      </c>
      <c r="C21" s="4">
        <f t="shared" ref="C21:C27" si="0">B21/A21</f>
        <v>0.57487922705314</v>
      </c>
      <c r="D21" s="4">
        <f t="shared" ref="D21:D27" si="1">ROUND(D14*C21,2)</f>
        <v>226.54</v>
      </c>
      <c r="F21" s="4">
        <f t="shared" ref="F21:F27" si="2">ROUND(F14*C21,2)</f>
        <v>8730.83</v>
      </c>
      <c r="H21" s="4">
        <f t="shared" ref="H21:H27" si="3">ROUND(H14*C21,2)</f>
        <v>31331.65</v>
      </c>
      <c r="P21" s="4">
        <f t="shared" ref="P21:P27" si="4">ROUND(P14*C21,2)</f>
        <v>14.07</v>
      </c>
    </row>
    <row r="22" spans="1:21">
      <c r="A22" s="121">
        <v>478</v>
      </c>
      <c r="B22" s="129">
        <v>231</v>
      </c>
      <c r="C22" s="4">
        <f t="shared" si="0"/>
        <v>0.48326359832636</v>
      </c>
      <c r="D22" s="4">
        <f t="shared" si="1"/>
        <v>317.16</v>
      </c>
      <c r="F22" s="4">
        <f t="shared" si="2"/>
        <v>7045.4</v>
      </c>
      <c r="H22" s="4">
        <f t="shared" si="3"/>
        <v>14626.76</v>
      </c>
      <c r="P22" s="4">
        <f t="shared" si="4"/>
        <v>4.95</v>
      </c>
    </row>
    <row r="23" spans="1:21">
      <c r="A23" s="121">
        <v>806</v>
      </c>
      <c r="B23" s="129">
        <v>693</v>
      </c>
      <c r="C23" s="4">
        <f t="shared" si="0"/>
        <v>0.859801488833747</v>
      </c>
      <c r="D23" s="4">
        <f t="shared" si="1"/>
        <v>418.17</v>
      </c>
      <c r="F23" s="4">
        <f t="shared" si="2"/>
        <v>6764.94</v>
      </c>
      <c r="H23" s="4">
        <f t="shared" si="3"/>
        <v>44738.14</v>
      </c>
      <c r="P23" s="4">
        <f t="shared" si="4"/>
        <v>4.47</v>
      </c>
    </row>
    <row r="24" spans="1:21">
      <c r="A24" s="121">
        <v>2466</v>
      </c>
      <c r="B24" s="129">
        <v>1455</v>
      </c>
      <c r="C24" s="4">
        <f t="shared" si="0"/>
        <v>0.590024330900243</v>
      </c>
      <c r="D24" s="4">
        <f t="shared" si="1"/>
        <v>798.81</v>
      </c>
      <c r="F24" s="4">
        <f t="shared" si="2"/>
        <v>15892.53</v>
      </c>
      <c r="H24" s="4">
        <f t="shared" si="3"/>
        <v>28305.61</v>
      </c>
      <c r="P24" s="4">
        <f t="shared" si="4"/>
        <v>4.74</v>
      </c>
    </row>
    <row r="25" spans="1:21">
      <c r="A25" s="121">
        <v>971</v>
      </c>
      <c r="B25" s="129">
        <v>803</v>
      </c>
      <c r="C25" s="4">
        <f t="shared" si="0"/>
        <v>0.826982492276004</v>
      </c>
      <c r="D25" s="4">
        <f t="shared" si="1"/>
        <v>486.76</v>
      </c>
      <c r="F25" s="4">
        <f t="shared" si="2"/>
        <v>9855.99</v>
      </c>
      <c r="H25" s="4">
        <f t="shared" si="3"/>
        <v>38674.92</v>
      </c>
      <c r="P25" s="4">
        <f t="shared" si="4"/>
        <v>6.62</v>
      </c>
    </row>
    <row r="26" spans="1:21">
      <c r="A26" s="121">
        <v>309</v>
      </c>
      <c r="B26" s="129">
        <v>298</v>
      </c>
      <c r="C26" s="4">
        <f t="shared" si="0"/>
        <v>0.964401294498382</v>
      </c>
      <c r="D26" s="4">
        <f t="shared" si="1"/>
        <v>355.24</v>
      </c>
      <c r="F26" s="4">
        <f t="shared" si="2"/>
        <v>3700.07</v>
      </c>
      <c r="H26" s="4">
        <f t="shared" si="3"/>
        <v>24193.63</v>
      </c>
      <c r="P26" s="4">
        <f t="shared" si="4"/>
        <v>7.04</v>
      </c>
    </row>
    <row r="27" spans="1:21">
      <c r="A27" s="4">
        <v>698</v>
      </c>
      <c r="B27" s="129">
        <v>595</v>
      </c>
      <c r="C27" s="4">
        <f t="shared" si="0"/>
        <v>0.85243553008596</v>
      </c>
      <c r="D27" s="4">
        <f t="shared" si="1"/>
        <v>343.85</v>
      </c>
      <c r="F27" s="4">
        <f t="shared" si="2"/>
        <v>8031.42</v>
      </c>
      <c r="H27" s="4">
        <f t="shared" si="3"/>
        <v>45461.21</v>
      </c>
      <c r="P27" s="4">
        <f t="shared" si="4"/>
        <v>4.95</v>
      </c>
    </row>
  </sheetData>
  <mergeCells count="13">
    <mergeCell ref="D3:E3"/>
    <mergeCell ref="A3:A4"/>
    <mergeCell ref="B3:B4"/>
    <mergeCell ref="C1:C2"/>
    <mergeCell ref="L1:L2"/>
    <mergeCell ref="M1:M2"/>
    <mergeCell ref="N1:N2"/>
    <mergeCell ref="O1:O2"/>
    <mergeCell ref="P2:P3"/>
    <mergeCell ref="A1:B2"/>
    <mergeCell ref="D1:F2"/>
    <mergeCell ref="G1:I2"/>
    <mergeCell ref="J1:K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"/>
  <sheetViews>
    <sheetView topLeftCell="A3" workbookViewId="0">
      <selection activeCell="N16" sqref="N16:N22"/>
    </sheetView>
  </sheetViews>
  <sheetFormatPr defaultColWidth="9" defaultRowHeight="13.5"/>
  <cols>
    <col min="1" max="1" width="9" style="4"/>
    <col min="2" max="2" width="9.3716814159292" style="4"/>
    <col min="3" max="5" width="9" style="4"/>
    <col min="6" max="6" width="9.3716814159292" style="4"/>
    <col min="7" max="7" width="9" style="4"/>
    <col min="8" max="8" width="9.3716814159292" style="4"/>
    <col min="9" max="21" width="9" style="4"/>
  </cols>
  <sheetData>
    <row r="1" s="96" customFormat="1" ht="22" customHeight="1" spans="1:21">
      <c r="A1" s="11" t="s">
        <v>142</v>
      </c>
      <c r="B1" s="97" t="s">
        <v>109</v>
      </c>
      <c r="C1" s="97" t="s">
        <v>96</v>
      </c>
      <c r="D1" s="97"/>
      <c r="E1" s="97"/>
      <c r="F1" s="97"/>
      <c r="G1" s="98" t="s">
        <v>110</v>
      </c>
      <c r="H1" s="98"/>
      <c r="I1" s="98"/>
      <c r="J1" s="97" t="s">
        <v>32</v>
      </c>
      <c r="K1" s="97" t="s">
        <v>33</v>
      </c>
      <c r="L1" s="97" t="s">
        <v>113</v>
      </c>
      <c r="M1" s="97" t="s">
        <v>114</v>
      </c>
      <c r="N1" s="4"/>
      <c r="O1" s="4"/>
      <c r="P1" s="4"/>
      <c r="Q1" s="4"/>
      <c r="R1" s="4"/>
      <c r="S1" s="4"/>
      <c r="T1" s="4"/>
      <c r="U1" s="4"/>
    </row>
    <row r="2" s="96" customFormat="1" ht="41.25" customHeight="1" spans="1:21">
      <c r="A2" s="11"/>
      <c r="B2" s="99"/>
      <c r="C2" s="99"/>
      <c r="D2" s="99"/>
      <c r="E2" s="99"/>
      <c r="F2" s="99"/>
      <c r="G2" s="100"/>
      <c r="H2" s="100"/>
      <c r="I2" s="100"/>
      <c r="J2" s="99"/>
      <c r="K2" s="99"/>
      <c r="L2" s="99"/>
      <c r="M2" s="99"/>
      <c r="N2" s="4"/>
      <c r="O2" s="4"/>
      <c r="P2" s="4"/>
      <c r="Q2" s="4"/>
      <c r="R2" s="4"/>
      <c r="S2" s="4"/>
      <c r="T2" s="4"/>
      <c r="U2" s="4"/>
    </row>
    <row r="3" s="96" customFormat="1" ht="53.5" customHeight="1" spans="1:21">
      <c r="A3" s="101" t="s">
        <v>73</v>
      </c>
      <c r="B3" s="101" t="s">
        <v>143</v>
      </c>
      <c r="C3" s="101" t="s">
        <v>144</v>
      </c>
      <c r="D3" s="102"/>
      <c r="E3" s="101"/>
      <c r="F3" s="102" t="s">
        <v>145</v>
      </c>
      <c r="G3" s="101" t="s">
        <v>146</v>
      </c>
      <c r="H3" s="101" t="s">
        <v>147</v>
      </c>
      <c r="I3" s="101" t="s">
        <v>148</v>
      </c>
      <c r="J3" s="101" t="s">
        <v>149</v>
      </c>
      <c r="K3" s="101" t="s">
        <v>150</v>
      </c>
      <c r="L3" s="101" t="s">
        <v>151</v>
      </c>
      <c r="M3" s="101" t="s">
        <v>45</v>
      </c>
      <c r="N3" s="4"/>
      <c r="O3" s="4"/>
      <c r="P3" s="4"/>
      <c r="Q3" s="4"/>
      <c r="R3" s="4"/>
      <c r="S3" s="4"/>
      <c r="T3" s="4"/>
      <c r="U3" s="4"/>
    </row>
    <row r="4" s="96" customFormat="1" ht="45.3" customHeight="1" spans="1:21">
      <c r="A4" s="101"/>
      <c r="B4" s="103" t="s">
        <v>152</v>
      </c>
      <c r="C4" s="103" t="s">
        <v>153</v>
      </c>
      <c r="D4" s="102" t="s">
        <v>154</v>
      </c>
      <c r="E4" s="101" t="s">
        <v>53</v>
      </c>
      <c r="F4" s="104" t="s">
        <v>155</v>
      </c>
      <c r="G4" s="101"/>
      <c r="H4" s="101"/>
      <c r="I4" s="101"/>
      <c r="J4" s="103" t="s">
        <v>156</v>
      </c>
      <c r="K4" s="103" t="s">
        <v>157</v>
      </c>
      <c r="L4" s="103" t="s">
        <v>158</v>
      </c>
      <c r="M4" s="103" t="s">
        <v>159</v>
      </c>
      <c r="N4" s="4"/>
      <c r="O4" s="4"/>
      <c r="P4" s="4"/>
      <c r="Q4" s="4"/>
      <c r="R4" s="4"/>
      <c r="S4" s="4"/>
      <c r="T4" s="4"/>
      <c r="U4" s="4"/>
    </row>
    <row r="5" s="96" customFormat="1" ht="30" customHeight="1" spans="1:21">
      <c r="A5" s="101"/>
      <c r="B5" s="103"/>
      <c r="C5" s="105"/>
      <c r="D5" s="106" t="s">
        <v>160</v>
      </c>
      <c r="E5" s="103" t="s">
        <v>161</v>
      </c>
      <c r="F5" s="104"/>
      <c r="G5" s="103" t="s">
        <v>162</v>
      </c>
      <c r="H5" s="103" t="s">
        <v>163</v>
      </c>
      <c r="I5" s="103" t="s">
        <v>164</v>
      </c>
      <c r="J5" s="103"/>
      <c r="K5" s="103"/>
      <c r="L5" s="103"/>
      <c r="M5" s="103"/>
      <c r="N5" s="4"/>
      <c r="O5" s="4"/>
      <c r="P5" s="4"/>
      <c r="Q5" s="4"/>
      <c r="R5" s="4"/>
      <c r="S5" s="4"/>
      <c r="T5" s="4"/>
      <c r="U5" s="4"/>
    </row>
    <row r="6" s="96" customFormat="1" ht="35.25" customHeight="1" spans="1:21">
      <c r="A6" s="101"/>
      <c r="B6" s="107" t="s">
        <v>46</v>
      </c>
      <c r="C6" s="101" t="s">
        <v>46</v>
      </c>
      <c r="D6" s="101" t="s">
        <v>105</v>
      </c>
      <c r="E6" s="103"/>
      <c r="F6" s="104"/>
      <c r="G6" s="103"/>
      <c r="H6" s="103"/>
      <c r="I6" s="103"/>
      <c r="J6" s="101" t="s">
        <v>46</v>
      </c>
      <c r="K6" s="101" t="s">
        <v>46</v>
      </c>
      <c r="L6" s="103"/>
      <c r="M6" s="101" t="s">
        <v>46</v>
      </c>
      <c r="N6" s="4"/>
      <c r="O6" s="4"/>
      <c r="P6" s="4"/>
      <c r="Q6" s="4"/>
      <c r="R6" s="4"/>
      <c r="S6" s="4"/>
      <c r="T6" s="4"/>
      <c r="U6" s="4"/>
    </row>
    <row r="7" s="96" customFormat="1" spans="1:21">
      <c r="A7" s="108" t="s">
        <v>62</v>
      </c>
      <c r="B7" s="109">
        <v>127</v>
      </c>
      <c r="C7" s="109">
        <v>1736</v>
      </c>
      <c r="D7" s="109">
        <v>141</v>
      </c>
      <c r="E7" s="109">
        <v>5532</v>
      </c>
      <c r="F7" s="109">
        <v>49.7</v>
      </c>
      <c r="G7" s="109">
        <v>4297</v>
      </c>
      <c r="H7" s="109">
        <v>4266</v>
      </c>
      <c r="I7" s="109"/>
      <c r="J7" s="109">
        <v>29147350</v>
      </c>
      <c r="K7" s="109">
        <v>1.72</v>
      </c>
      <c r="L7" s="109">
        <v>3314702</v>
      </c>
      <c r="M7" s="109">
        <v>11606397</v>
      </c>
      <c r="N7" s="4">
        <v>220</v>
      </c>
      <c r="O7" s="4"/>
      <c r="P7" s="4"/>
      <c r="Q7" s="4"/>
      <c r="R7" s="4"/>
      <c r="S7" s="4"/>
      <c r="T7" s="4"/>
      <c r="U7" s="4"/>
    </row>
    <row r="8" s="96" customFormat="1" spans="1:21">
      <c r="A8" s="108" t="s">
        <v>63</v>
      </c>
      <c r="B8" s="109">
        <v>243</v>
      </c>
      <c r="C8" s="109">
        <v>1701</v>
      </c>
      <c r="D8" s="109">
        <v>389</v>
      </c>
      <c r="E8" s="109">
        <v>5197</v>
      </c>
      <c r="F8" s="109">
        <v>45.12</v>
      </c>
      <c r="G8" s="109">
        <v>23546</v>
      </c>
      <c r="H8" s="109">
        <v>847</v>
      </c>
      <c r="I8" s="109">
        <v>94.35</v>
      </c>
      <c r="J8" s="109">
        <v>47914131</v>
      </c>
      <c r="K8" s="109">
        <v>0.51</v>
      </c>
      <c r="L8" s="109">
        <v>7545412</v>
      </c>
      <c r="M8" s="109">
        <v>15424224</v>
      </c>
      <c r="N8" s="4">
        <v>496</v>
      </c>
      <c r="O8" s="4"/>
      <c r="P8" s="4"/>
      <c r="Q8" s="4"/>
      <c r="R8" s="4"/>
      <c r="S8" s="4"/>
      <c r="T8" s="4"/>
      <c r="U8" s="4"/>
    </row>
    <row r="9" s="96" customFormat="1" spans="1:21">
      <c r="A9" s="108" t="s">
        <v>64</v>
      </c>
      <c r="B9" s="109">
        <v>703</v>
      </c>
      <c r="C9" s="109">
        <v>12255</v>
      </c>
      <c r="D9" s="109">
        <v>293</v>
      </c>
      <c r="E9" s="109">
        <v>4552</v>
      </c>
      <c r="F9" s="109">
        <v>44.93</v>
      </c>
      <c r="G9" s="109">
        <v>4710</v>
      </c>
      <c r="H9" s="109">
        <v>32441</v>
      </c>
      <c r="I9" s="109">
        <v>91.81</v>
      </c>
      <c r="J9" s="109">
        <v>78568123</v>
      </c>
      <c r="K9" s="109">
        <v>6.3</v>
      </c>
      <c r="L9" s="109">
        <v>6803797</v>
      </c>
      <c r="M9" s="109">
        <v>46664607</v>
      </c>
      <c r="N9" s="4">
        <v>817</v>
      </c>
      <c r="O9" s="4"/>
      <c r="P9" s="4"/>
      <c r="Q9" s="4"/>
      <c r="R9" s="4"/>
      <c r="S9" s="4"/>
      <c r="T9" s="4"/>
      <c r="U9" s="4"/>
    </row>
    <row r="10" s="96" customFormat="1" spans="1:21">
      <c r="A10" s="110" t="s">
        <v>57</v>
      </c>
      <c r="B10" s="111">
        <v>1462</v>
      </c>
      <c r="C10" s="111">
        <v>6341</v>
      </c>
      <c r="D10" s="111">
        <v>1238</v>
      </c>
      <c r="E10" s="111">
        <v>20578</v>
      </c>
      <c r="F10" s="111">
        <v>39.4</v>
      </c>
      <c r="G10" s="111">
        <v>29144</v>
      </c>
      <c r="H10" s="111">
        <v>9100</v>
      </c>
      <c r="I10" s="111">
        <v>95.2</v>
      </c>
      <c r="J10" s="111">
        <v>326798700</v>
      </c>
      <c r="K10" s="111">
        <v>0.32</v>
      </c>
      <c r="L10" s="111">
        <v>71081480</v>
      </c>
      <c r="M10" s="111">
        <v>126686893</v>
      </c>
      <c r="N10" s="4">
        <v>2475</v>
      </c>
      <c r="O10" s="4"/>
      <c r="P10" s="4"/>
      <c r="Q10" s="4"/>
      <c r="R10" s="4"/>
      <c r="S10" s="4"/>
      <c r="T10" s="4"/>
      <c r="U10" s="4"/>
    </row>
    <row r="11" s="96" customFormat="1" spans="1:21">
      <c r="A11" s="108" t="s">
        <v>65</v>
      </c>
      <c r="B11" s="109">
        <v>818</v>
      </c>
      <c r="C11" s="109">
        <v>11282</v>
      </c>
      <c r="D11" s="109">
        <v>715</v>
      </c>
      <c r="E11" s="109">
        <v>8587</v>
      </c>
      <c r="F11" s="109">
        <v>39.2</v>
      </c>
      <c r="G11" s="109">
        <v>5536</v>
      </c>
      <c r="H11" s="109">
        <v>4227</v>
      </c>
      <c r="I11" s="109">
        <v>97.27</v>
      </c>
      <c r="J11" s="109">
        <v>120015200</v>
      </c>
      <c r="K11" s="109">
        <v>3.22</v>
      </c>
      <c r="L11" s="109">
        <v>12319138</v>
      </c>
      <c r="M11" s="109">
        <v>48424565</v>
      </c>
      <c r="N11" s="4">
        <v>1007</v>
      </c>
      <c r="O11" s="4"/>
      <c r="P11" s="4"/>
      <c r="Q11" s="4"/>
      <c r="R11" s="4"/>
      <c r="S11" s="4"/>
      <c r="T11" s="4"/>
      <c r="U11" s="4"/>
    </row>
    <row r="12" s="96" customFormat="1" ht="14.4" customHeight="1" spans="1:21">
      <c r="A12" s="108" t="s">
        <v>59</v>
      </c>
      <c r="B12" s="112">
        <v>300</v>
      </c>
      <c r="C12" s="109">
        <v>7803</v>
      </c>
      <c r="D12" s="109">
        <v>138</v>
      </c>
      <c r="E12" s="109">
        <v>2395</v>
      </c>
      <c r="F12" s="109">
        <v>41.29</v>
      </c>
      <c r="G12" s="109">
        <v>2023</v>
      </c>
      <c r="H12" s="109">
        <v>18961</v>
      </c>
      <c r="I12" s="109">
        <v>97.01</v>
      </c>
      <c r="J12" s="109">
        <v>16355631</v>
      </c>
      <c r="K12" s="109">
        <v>12.43</v>
      </c>
      <c r="L12" s="109">
        <v>1334339</v>
      </c>
      <c r="M12" s="109">
        <v>8306408</v>
      </c>
      <c r="N12" s="4">
        <v>311</v>
      </c>
      <c r="O12" s="4"/>
      <c r="P12" s="4"/>
      <c r="Q12" s="4"/>
      <c r="R12" s="4"/>
      <c r="S12" s="4"/>
      <c r="T12" s="4"/>
      <c r="U12" s="4"/>
    </row>
    <row r="13" s="96" customFormat="1" ht="14.4" customHeight="1" spans="1:21">
      <c r="A13" s="108" t="s">
        <v>66</v>
      </c>
      <c r="B13" s="112">
        <v>595</v>
      </c>
      <c r="C13" s="109">
        <v>13244</v>
      </c>
      <c r="D13" s="109">
        <v>404</v>
      </c>
      <c r="E13" s="109">
        <v>4094</v>
      </c>
      <c r="F13" s="109">
        <v>46.67</v>
      </c>
      <c r="G13" s="109">
        <v>12907</v>
      </c>
      <c r="H13" s="109">
        <v>14893</v>
      </c>
      <c r="I13" s="109">
        <v>90.16</v>
      </c>
      <c r="J13" s="109">
        <v>76684823</v>
      </c>
      <c r="K13" s="109">
        <v>5.77</v>
      </c>
      <c r="L13" s="109">
        <v>7039857</v>
      </c>
      <c r="M13" s="109">
        <v>38800542</v>
      </c>
      <c r="N13" s="4">
        <v>698</v>
      </c>
      <c r="O13" s="4"/>
      <c r="P13" s="4"/>
      <c r="Q13" s="4"/>
      <c r="R13" s="4"/>
      <c r="S13" s="4"/>
      <c r="T13" s="4"/>
      <c r="U13" s="4"/>
    </row>
    <row r="15" ht="54" spans="1:21">
      <c r="A15" s="39"/>
      <c r="B15" s="39" t="s">
        <v>61</v>
      </c>
      <c r="C15" s="39" t="s">
        <v>52</v>
      </c>
      <c r="D15" s="39" t="s">
        <v>8</v>
      </c>
      <c r="E15" s="39" t="s">
        <v>10</v>
      </c>
      <c r="F15" s="39" t="s">
        <v>11</v>
      </c>
      <c r="G15" s="39" t="s">
        <v>12</v>
      </c>
      <c r="H15" s="39" t="s">
        <v>13</v>
      </c>
      <c r="I15" s="39" t="s">
        <v>14</v>
      </c>
      <c r="J15" s="39" t="s">
        <v>15</v>
      </c>
      <c r="K15" s="39" t="s">
        <v>16</v>
      </c>
      <c r="L15" s="39" t="s">
        <v>17</v>
      </c>
      <c r="M15" s="39" t="s">
        <v>18</v>
      </c>
      <c r="N15" s="39" t="s">
        <v>19</v>
      </c>
      <c r="O15" s="39" t="s">
        <v>20</v>
      </c>
      <c r="P15" s="39" t="s">
        <v>21</v>
      </c>
      <c r="Q15" s="39" t="s">
        <v>22</v>
      </c>
      <c r="R15" s="39" t="s">
        <v>23</v>
      </c>
      <c r="S15" s="39" t="s">
        <v>24</v>
      </c>
      <c r="T15" s="39" t="s">
        <v>25</v>
      </c>
      <c r="U15" s="39" t="s">
        <v>26</v>
      </c>
    </row>
    <row r="16" spans="1:21">
      <c r="A16" s="4" t="s">
        <v>62</v>
      </c>
      <c r="B16" s="4">
        <v>2914.74</v>
      </c>
      <c r="C16" s="4">
        <v>220</v>
      </c>
      <c r="D16" s="4">
        <v>422.32</v>
      </c>
      <c r="E16" s="4">
        <v>1.68</v>
      </c>
      <c r="F16" s="4">
        <v>15066.83</v>
      </c>
      <c r="G16" s="4">
        <v>1858.57</v>
      </c>
      <c r="H16" s="4">
        <v>52756.35</v>
      </c>
      <c r="I16" s="4">
        <v>98.28</v>
      </c>
      <c r="J16" s="4">
        <v>35.32</v>
      </c>
      <c r="K16" s="4">
        <v>19.24</v>
      </c>
      <c r="L16" s="4">
        <v>0.33</v>
      </c>
      <c r="M16" s="4">
        <v>27.78</v>
      </c>
      <c r="N16" s="41">
        <v>0.0754</v>
      </c>
      <c r="O16" s="4">
        <v>49.7</v>
      </c>
      <c r="P16" s="4">
        <v>25.15</v>
      </c>
      <c r="Q16" s="4">
        <v>96.4</v>
      </c>
      <c r="R16" s="4">
        <v>4297</v>
      </c>
      <c r="S16" s="4">
        <v>4266</v>
      </c>
      <c r="T16" s="4">
        <v>97.91</v>
      </c>
      <c r="U16" s="4">
        <v>94.06</v>
      </c>
    </row>
    <row r="17" spans="1:21">
      <c r="A17" s="4" t="s">
        <v>63</v>
      </c>
      <c r="B17" s="4">
        <v>4791.41</v>
      </c>
      <c r="C17" s="4">
        <v>496</v>
      </c>
      <c r="D17" s="4">
        <v>699.88</v>
      </c>
      <c r="E17" s="4">
        <v>2.82</v>
      </c>
      <c r="F17" s="4">
        <v>15212.53</v>
      </c>
      <c r="G17" s="4">
        <v>2622.39</v>
      </c>
      <c r="H17" s="4">
        <v>31097.22</v>
      </c>
      <c r="I17" s="4">
        <v>99.49</v>
      </c>
      <c r="J17" s="4">
        <v>34.96</v>
      </c>
      <c r="K17" s="4">
        <v>22.88</v>
      </c>
      <c r="L17" s="4">
        <v>0.11</v>
      </c>
      <c r="M17" s="4">
        <v>38.75</v>
      </c>
      <c r="N17" s="41">
        <v>0.0335</v>
      </c>
      <c r="O17" s="4">
        <v>45.12</v>
      </c>
      <c r="P17" s="4">
        <v>10.48</v>
      </c>
      <c r="Q17" s="4">
        <v>94.35</v>
      </c>
      <c r="R17" s="4">
        <v>23546</v>
      </c>
      <c r="S17" s="4">
        <v>847</v>
      </c>
      <c r="T17" s="4">
        <v>98.5</v>
      </c>
      <c r="U17" s="4">
        <v>96.95</v>
      </c>
    </row>
    <row r="18" spans="1:21">
      <c r="A18" s="4" t="s">
        <v>64</v>
      </c>
      <c r="B18" s="4">
        <v>7856.81</v>
      </c>
      <c r="C18" s="4">
        <v>817</v>
      </c>
      <c r="D18" s="4">
        <v>493.6</v>
      </c>
      <c r="E18" s="4">
        <v>0.64</v>
      </c>
      <c r="F18" s="4">
        <v>8327.78</v>
      </c>
      <c r="G18" s="4">
        <v>6502.33</v>
      </c>
      <c r="H18" s="4">
        <v>57117.02</v>
      </c>
      <c r="I18" s="4">
        <v>93.7</v>
      </c>
      <c r="J18" s="4">
        <v>18.96</v>
      </c>
      <c r="K18" s="4">
        <v>7.23</v>
      </c>
      <c r="L18" s="4">
        <v>0.02</v>
      </c>
      <c r="M18" s="4">
        <v>71.15</v>
      </c>
      <c r="N18" s="41">
        <v>0.0418</v>
      </c>
      <c r="O18" s="4">
        <v>44.93</v>
      </c>
      <c r="P18" s="4">
        <v>5.58</v>
      </c>
      <c r="Q18" s="4">
        <v>91.81</v>
      </c>
      <c r="R18" s="4">
        <v>4710</v>
      </c>
      <c r="S18" s="4">
        <v>32441</v>
      </c>
      <c r="T18" s="4">
        <v>99.33</v>
      </c>
      <c r="U18" s="4">
        <v>98.78</v>
      </c>
    </row>
    <row r="19" spans="1:21">
      <c r="A19" s="4" t="s">
        <v>57</v>
      </c>
      <c r="B19" s="4">
        <v>32679.87</v>
      </c>
      <c r="C19" s="4">
        <v>2475</v>
      </c>
      <c r="D19" s="4">
        <v>1361.95</v>
      </c>
      <c r="E19" s="4">
        <v>5.15</v>
      </c>
      <c r="F19" s="4">
        <v>28719.79</v>
      </c>
      <c r="G19" s="113">
        <v>7621.42</v>
      </c>
      <c r="H19" s="4">
        <v>51186.62</v>
      </c>
      <c r="I19" s="4">
        <v>99.68</v>
      </c>
      <c r="J19" s="4">
        <v>58.26</v>
      </c>
      <c r="K19" s="4">
        <v>33.44</v>
      </c>
      <c r="L19" s="4">
        <v>0.05</v>
      </c>
      <c r="M19" s="4">
        <v>0.16</v>
      </c>
      <c r="N19" s="41">
        <v>0.2282</v>
      </c>
      <c r="O19" s="4">
        <v>39.4</v>
      </c>
      <c r="P19" s="4">
        <v>8.32</v>
      </c>
      <c r="Q19" s="4">
        <v>95.2</v>
      </c>
      <c r="R19" s="4">
        <v>29144</v>
      </c>
      <c r="S19" s="4">
        <v>9100</v>
      </c>
      <c r="T19" s="4">
        <v>99.79</v>
      </c>
      <c r="U19" s="4">
        <v>97.45</v>
      </c>
    </row>
    <row r="20" spans="1:21">
      <c r="A20" s="4" t="s">
        <v>65</v>
      </c>
      <c r="B20" s="4">
        <v>12001.52</v>
      </c>
      <c r="C20" s="4">
        <v>1007</v>
      </c>
      <c r="D20" s="4">
        <v>588.97</v>
      </c>
      <c r="E20" s="4">
        <v>1.06</v>
      </c>
      <c r="F20" s="4">
        <v>12233.5</v>
      </c>
      <c r="G20" s="114">
        <v>8388</v>
      </c>
      <c r="H20" s="4">
        <v>48087.95</v>
      </c>
      <c r="I20" s="4">
        <v>96.78</v>
      </c>
      <c r="J20" s="4">
        <v>66.52</v>
      </c>
      <c r="K20" s="4">
        <v>26.54</v>
      </c>
      <c r="L20" s="4">
        <v>0.31</v>
      </c>
      <c r="M20" s="4">
        <v>4.85</v>
      </c>
      <c r="N20" s="41">
        <v>0.003</v>
      </c>
      <c r="O20" s="4">
        <v>39.2</v>
      </c>
      <c r="P20" s="4">
        <v>8.53</v>
      </c>
      <c r="Q20" s="4">
        <v>97.27</v>
      </c>
      <c r="R20" s="4">
        <v>5536</v>
      </c>
      <c r="S20" s="4">
        <v>4227</v>
      </c>
      <c r="T20" s="4">
        <v>99.79</v>
      </c>
      <c r="U20" s="4">
        <v>98.61</v>
      </c>
    </row>
    <row r="21" spans="1:21">
      <c r="A21" s="4" t="s">
        <v>59</v>
      </c>
      <c r="B21" s="4">
        <v>1635.56</v>
      </c>
      <c r="C21" s="4">
        <v>311</v>
      </c>
      <c r="D21" s="4">
        <v>370.87</v>
      </c>
      <c r="E21" s="4">
        <v>0.21</v>
      </c>
      <c r="F21" s="4">
        <v>4290.48</v>
      </c>
      <c r="G21" s="4">
        <v>916.18</v>
      </c>
      <c r="H21" s="4">
        <v>26708.71</v>
      </c>
      <c r="I21" s="4">
        <v>87.57</v>
      </c>
      <c r="J21" s="4">
        <v>41.2</v>
      </c>
      <c r="K21" s="4">
        <v>13.13</v>
      </c>
      <c r="L21" s="4">
        <v>5.82</v>
      </c>
      <c r="M21" s="4">
        <v>38.72</v>
      </c>
      <c r="N21" s="41">
        <v>0.0301</v>
      </c>
      <c r="O21" s="4">
        <v>41.29</v>
      </c>
      <c r="P21" s="4">
        <v>7.7</v>
      </c>
      <c r="Q21" s="4">
        <v>97.01</v>
      </c>
      <c r="R21" s="4">
        <v>2023</v>
      </c>
      <c r="S21" s="4">
        <v>18961</v>
      </c>
      <c r="T21" s="4">
        <v>99.37</v>
      </c>
      <c r="U21" s="4">
        <v>99.47</v>
      </c>
    </row>
    <row r="22" spans="1:21">
      <c r="A22" s="4" t="s">
        <v>66</v>
      </c>
      <c r="B22" s="4">
        <v>7668.48</v>
      </c>
      <c r="C22" s="4">
        <v>698</v>
      </c>
      <c r="D22" s="4">
        <v>382.97</v>
      </c>
      <c r="E22" s="4">
        <v>0.58</v>
      </c>
      <c r="F22" s="4">
        <v>10085.75</v>
      </c>
      <c r="G22" s="4">
        <v>1819.7</v>
      </c>
      <c r="H22" s="4">
        <v>55588.16</v>
      </c>
      <c r="I22" s="4">
        <v>94.23</v>
      </c>
      <c r="J22" s="4">
        <v>50.21</v>
      </c>
      <c r="K22" s="4">
        <v>19.37</v>
      </c>
      <c r="L22" s="4">
        <v>1.57</v>
      </c>
      <c r="M22" s="4">
        <v>24.61</v>
      </c>
      <c r="N22" s="41">
        <v>0.0248</v>
      </c>
      <c r="O22" s="4">
        <v>46.67</v>
      </c>
      <c r="P22" s="4">
        <v>5.86</v>
      </c>
      <c r="Q22" s="4">
        <v>90.16</v>
      </c>
      <c r="R22" s="4">
        <v>12907</v>
      </c>
      <c r="S22" s="4">
        <v>14893</v>
      </c>
      <c r="T22" s="4">
        <v>99.7</v>
      </c>
      <c r="U22" s="4">
        <v>98.75</v>
      </c>
    </row>
    <row r="23" spans="1:21">
      <c r="A23" s="4">
        <v>220</v>
      </c>
      <c r="B23" s="109">
        <v>127</v>
      </c>
      <c r="C23" s="4">
        <f t="shared" ref="C23:C29" si="0">B23/A23</f>
        <v>0.577272727272727</v>
      </c>
      <c r="D23" s="4">
        <f t="shared" ref="D23:D29" si="1">ROUND(D16*C23,2)</f>
        <v>243.79</v>
      </c>
      <c r="F23" s="4">
        <f t="shared" ref="F23:F29" si="2">ROUND(F16*C23,2)</f>
        <v>8697.67</v>
      </c>
      <c r="H23" s="4">
        <f t="shared" ref="H23:H29" si="3">ROUND(H16*C23,2)</f>
        <v>30454.8</v>
      </c>
      <c r="P23" s="4">
        <f t="shared" ref="P23:P29" si="4">ROUND(P16*C23,2)</f>
        <v>14.52</v>
      </c>
    </row>
    <row r="24" spans="1:21">
      <c r="A24" s="4">
        <v>496</v>
      </c>
      <c r="B24" s="109">
        <v>243</v>
      </c>
      <c r="C24" s="4">
        <f t="shared" si="0"/>
        <v>0.48991935483871</v>
      </c>
      <c r="D24" s="4">
        <f t="shared" si="1"/>
        <v>342.88</v>
      </c>
      <c r="F24" s="4">
        <f t="shared" si="2"/>
        <v>7452.91</v>
      </c>
      <c r="H24" s="4">
        <f t="shared" si="3"/>
        <v>15235.13</v>
      </c>
      <c r="P24" s="4">
        <f t="shared" si="4"/>
        <v>5.13</v>
      </c>
    </row>
    <row r="25" spans="1:21">
      <c r="A25" s="4">
        <v>817</v>
      </c>
      <c r="B25" s="109">
        <v>703</v>
      </c>
      <c r="C25" s="4">
        <f t="shared" si="0"/>
        <v>0.86046511627907</v>
      </c>
      <c r="D25" s="4">
        <f t="shared" si="1"/>
        <v>424.73</v>
      </c>
      <c r="F25" s="4">
        <f t="shared" si="2"/>
        <v>7165.76</v>
      </c>
      <c r="H25" s="4">
        <f t="shared" si="3"/>
        <v>49147.2</v>
      </c>
      <c r="P25" s="4">
        <f t="shared" si="4"/>
        <v>4.8</v>
      </c>
    </row>
    <row r="26" spans="1:21">
      <c r="A26" s="4">
        <v>2475</v>
      </c>
      <c r="B26" s="111">
        <v>1462</v>
      </c>
      <c r="C26" s="4">
        <f t="shared" si="0"/>
        <v>0.590707070707071</v>
      </c>
      <c r="D26" s="4">
        <f t="shared" si="1"/>
        <v>804.51</v>
      </c>
      <c r="F26" s="4">
        <f t="shared" si="2"/>
        <v>16964.98</v>
      </c>
      <c r="H26" s="4">
        <f t="shared" si="3"/>
        <v>30236.3</v>
      </c>
      <c r="P26" s="4">
        <f t="shared" si="4"/>
        <v>4.91</v>
      </c>
    </row>
    <row r="27" spans="1:21">
      <c r="A27" s="4">
        <v>1007</v>
      </c>
      <c r="B27" s="109">
        <v>818</v>
      </c>
      <c r="C27" s="4">
        <f t="shared" si="0"/>
        <v>0.812313803376365</v>
      </c>
      <c r="D27" s="4">
        <f t="shared" si="1"/>
        <v>478.43</v>
      </c>
      <c r="F27" s="4">
        <f t="shared" si="2"/>
        <v>9937.44</v>
      </c>
      <c r="H27" s="4">
        <f t="shared" si="3"/>
        <v>39062.51</v>
      </c>
      <c r="P27" s="4">
        <f t="shared" si="4"/>
        <v>6.93</v>
      </c>
    </row>
    <row r="28" spans="1:21">
      <c r="A28" s="4">
        <v>311</v>
      </c>
      <c r="B28" s="112">
        <v>300</v>
      </c>
      <c r="C28" s="4">
        <f t="shared" si="0"/>
        <v>0.964630225080386</v>
      </c>
      <c r="D28" s="4">
        <f t="shared" si="1"/>
        <v>357.75</v>
      </c>
      <c r="F28" s="4">
        <f t="shared" si="2"/>
        <v>4138.73</v>
      </c>
      <c r="H28" s="4">
        <f t="shared" si="3"/>
        <v>25764.03</v>
      </c>
      <c r="P28" s="4">
        <f t="shared" si="4"/>
        <v>7.43</v>
      </c>
    </row>
    <row r="29" spans="1:21">
      <c r="A29" s="4">
        <v>698</v>
      </c>
      <c r="B29" s="112">
        <v>595</v>
      </c>
      <c r="C29" s="4">
        <f t="shared" si="0"/>
        <v>0.85243553008596</v>
      </c>
      <c r="D29" s="4">
        <f t="shared" si="1"/>
        <v>326.46</v>
      </c>
      <c r="F29" s="4">
        <f t="shared" si="2"/>
        <v>8597.45</v>
      </c>
      <c r="H29" s="4">
        <f t="shared" si="3"/>
        <v>47385.32</v>
      </c>
      <c r="P29" s="4">
        <f t="shared" si="4"/>
        <v>5</v>
      </c>
    </row>
  </sheetData>
  <mergeCells count="26">
    <mergeCell ref="C3:D3"/>
    <mergeCell ref="A1:A2"/>
    <mergeCell ref="A3:A6"/>
    <mergeCell ref="B1:B2"/>
    <mergeCell ref="B4:B5"/>
    <mergeCell ref="C4:C5"/>
    <mergeCell ref="E5:E6"/>
    <mergeCell ref="F4:F6"/>
    <mergeCell ref="G3:G4"/>
    <mergeCell ref="G5:G6"/>
    <mergeCell ref="H3:H4"/>
    <mergeCell ref="H5:H6"/>
    <mergeCell ref="I1:I2"/>
    <mergeCell ref="I3:I4"/>
    <mergeCell ref="I5:I6"/>
    <mergeCell ref="J1:J2"/>
    <mergeCell ref="J4:J5"/>
    <mergeCell ref="K1:K2"/>
    <mergeCell ref="K4:K5"/>
    <mergeCell ref="L1:L2"/>
    <mergeCell ref="L4:L6"/>
    <mergeCell ref="M1:M2"/>
    <mergeCell ref="M4:M5"/>
    <mergeCell ref="C1:D2"/>
    <mergeCell ref="E1:F2"/>
    <mergeCell ref="G1:H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workbookViewId="0">
      <selection activeCell="N14" sqref="N14:N20"/>
    </sheetView>
  </sheetViews>
  <sheetFormatPr defaultColWidth="9" defaultRowHeight="13.5"/>
  <cols>
    <col min="6" max="6" width="9.3716814159292"/>
    <col min="8" max="8" width="10.3716814159292"/>
  </cols>
  <sheetData>
    <row r="1" s="1" customFormat="1" ht="34" customHeight="1" spans="1:21">
      <c r="A1" s="5" t="s">
        <v>165</v>
      </c>
      <c r="B1" s="6"/>
      <c r="C1" s="7" t="s">
        <v>166</v>
      </c>
      <c r="D1" s="78" t="s">
        <v>167</v>
      </c>
      <c r="E1" s="78"/>
      <c r="F1" s="79"/>
      <c r="G1" s="80"/>
      <c r="H1" s="79" t="s">
        <v>168</v>
      </c>
      <c r="I1" s="79"/>
      <c r="J1" s="79"/>
      <c r="K1" s="78" t="s">
        <v>169</v>
      </c>
      <c r="L1" s="78" t="s">
        <v>170</v>
      </c>
      <c r="M1" s="79" t="s">
        <v>171</v>
      </c>
      <c r="N1" s="78" t="s">
        <v>172</v>
      </c>
    </row>
    <row r="2" s="1" customFormat="1" ht="34" customHeight="1" spans="1:21">
      <c r="A2" s="10"/>
      <c r="B2" s="11"/>
      <c r="C2" s="81"/>
      <c r="D2" s="82" t="s">
        <v>173</v>
      </c>
      <c r="E2" s="83"/>
      <c r="F2" s="84"/>
      <c r="G2" s="85"/>
      <c r="H2" s="84"/>
      <c r="I2" s="84"/>
      <c r="J2" s="84"/>
      <c r="K2" s="86"/>
      <c r="L2" s="86"/>
      <c r="M2" s="84"/>
      <c r="N2" s="86"/>
    </row>
    <row r="3" s="2" customFormat="1" ht="58" customHeight="1" spans="1:21">
      <c r="A3" s="14" t="s">
        <v>73</v>
      </c>
      <c r="B3" s="14" t="s">
        <v>116</v>
      </c>
      <c r="C3" s="17" t="s">
        <v>174</v>
      </c>
      <c r="D3" s="19"/>
      <c r="E3" s="24" t="s">
        <v>175</v>
      </c>
      <c r="F3" s="83"/>
      <c r="G3" s="15" t="s">
        <v>176</v>
      </c>
      <c r="H3" s="16" t="s">
        <v>23</v>
      </c>
      <c r="I3" s="16" t="s">
        <v>177</v>
      </c>
      <c r="J3" s="87" t="s">
        <v>178</v>
      </c>
      <c r="K3" s="17" t="s">
        <v>179</v>
      </c>
      <c r="L3" s="17" t="s">
        <v>180</v>
      </c>
      <c r="M3" s="16" t="s">
        <v>151</v>
      </c>
      <c r="N3" s="17" t="s">
        <v>181</v>
      </c>
    </row>
    <row r="4" s="2" customFormat="1" ht="46" customHeight="1" spans="1:21">
      <c r="A4" s="23"/>
      <c r="B4" s="23"/>
      <c r="C4" s="24" t="s">
        <v>182</v>
      </c>
      <c r="D4" s="24" t="s">
        <v>183</v>
      </c>
      <c r="E4" s="24" t="s">
        <v>184</v>
      </c>
      <c r="F4" s="24" t="s">
        <v>185</v>
      </c>
      <c r="G4" s="19"/>
      <c r="H4" s="22" t="s">
        <v>162</v>
      </c>
      <c r="I4" s="22" t="s">
        <v>186</v>
      </c>
      <c r="J4" s="88"/>
      <c r="K4" s="24" t="s">
        <v>187</v>
      </c>
      <c r="L4" s="24" t="s">
        <v>187</v>
      </c>
      <c r="M4" s="22"/>
      <c r="N4" s="24" t="s">
        <v>188</v>
      </c>
    </row>
    <row r="5" s="1" customFormat="1" ht="13.1" spans="1:21">
      <c r="A5" s="89" t="s">
        <v>89</v>
      </c>
      <c r="B5" s="90" t="s">
        <v>189</v>
      </c>
      <c r="C5" s="91">
        <v>133</v>
      </c>
      <c r="D5" s="31">
        <v>1736</v>
      </c>
      <c r="E5" s="31">
        <v>153</v>
      </c>
      <c r="F5" s="31">
        <v>6360</v>
      </c>
      <c r="G5" s="31">
        <v>46.87</v>
      </c>
      <c r="H5" s="31">
        <v>4127</v>
      </c>
      <c r="I5" s="31">
        <v>3191</v>
      </c>
      <c r="J5" s="31">
        <v>96.62</v>
      </c>
      <c r="K5" s="31">
        <v>3436</v>
      </c>
      <c r="L5" s="31">
        <v>1.67</v>
      </c>
      <c r="M5" s="31">
        <v>3444865</v>
      </c>
      <c r="N5" s="31">
        <v>9962987</v>
      </c>
      <c r="O5" s="1">
        <v>233</v>
      </c>
    </row>
    <row r="6" s="1" customFormat="1" ht="13.1" spans="1:21">
      <c r="A6" s="89" t="s">
        <v>90</v>
      </c>
      <c r="B6" s="90" t="s">
        <v>190</v>
      </c>
      <c r="C6" s="91">
        <v>261</v>
      </c>
      <c r="D6" s="31">
        <v>1701</v>
      </c>
      <c r="E6" s="31">
        <v>398</v>
      </c>
      <c r="F6" s="31">
        <v>5237</v>
      </c>
      <c r="G6" s="31">
        <v>45.13</v>
      </c>
      <c r="H6" s="31">
        <v>24039</v>
      </c>
      <c r="I6" s="31">
        <v>829</v>
      </c>
      <c r="J6" s="31">
        <v>92.7</v>
      </c>
      <c r="K6" s="31">
        <v>5995</v>
      </c>
      <c r="L6" s="31">
        <v>0.44</v>
      </c>
      <c r="M6" s="31">
        <v>7683751</v>
      </c>
      <c r="N6" s="31">
        <v>22579165</v>
      </c>
      <c r="O6" s="1">
        <v>512</v>
      </c>
    </row>
    <row r="7" s="1" customFormat="1" ht="13.1" spans="1:21">
      <c r="A7" s="89" t="s">
        <v>91</v>
      </c>
      <c r="B7" s="90" t="s">
        <v>191</v>
      </c>
      <c r="C7" s="91">
        <v>710</v>
      </c>
      <c r="D7" s="31">
        <v>12255</v>
      </c>
      <c r="E7" s="31">
        <v>301</v>
      </c>
      <c r="F7" s="31">
        <v>4804</v>
      </c>
      <c r="G7" s="31">
        <v>45.39</v>
      </c>
      <c r="H7" s="31">
        <v>6255</v>
      </c>
      <c r="I7" s="31">
        <v>35854</v>
      </c>
      <c r="J7" s="31">
        <v>94.66</v>
      </c>
      <c r="K7" s="31">
        <v>9392</v>
      </c>
      <c r="L7" s="31">
        <v>5.61</v>
      </c>
      <c r="M7" s="31">
        <v>6680760</v>
      </c>
      <c r="N7" s="31">
        <v>41989358</v>
      </c>
      <c r="O7" s="1">
        <v>824</v>
      </c>
    </row>
    <row r="8" s="1" customFormat="1" ht="13.1" spans="1:21">
      <c r="A8" s="92" t="s">
        <v>57</v>
      </c>
      <c r="B8" s="93" t="s">
        <v>192</v>
      </c>
      <c r="C8" s="91">
        <v>1469</v>
      </c>
      <c r="D8" s="31">
        <v>6341</v>
      </c>
      <c r="E8" s="31">
        <v>1238</v>
      </c>
      <c r="F8" s="31">
        <v>21425</v>
      </c>
      <c r="G8" s="31">
        <v>39.7</v>
      </c>
      <c r="H8" s="31">
        <v>34138</v>
      </c>
      <c r="I8" s="31">
        <v>7646</v>
      </c>
      <c r="J8" s="94"/>
      <c r="K8" s="31">
        <v>38156</v>
      </c>
      <c r="L8" s="31">
        <v>0.27</v>
      </c>
      <c r="M8" s="31">
        <v>71650984</v>
      </c>
      <c r="N8" s="31">
        <v>158475530</v>
      </c>
      <c r="O8" s="1">
        <v>2481</v>
      </c>
    </row>
    <row r="9" s="1" customFormat="1" ht="13.1" spans="1:21">
      <c r="A9" s="89" t="s">
        <v>92</v>
      </c>
      <c r="B9" s="90" t="s">
        <v>193</v>
      </c>
      <c r="C9" s="91">
        <v>831</v>
      </c>
      <c r="D9" s="31">
        <v>11293</v>
      </c>
      <c r="E9" s="31">
        <v>758</v>
      </c>
      <c r="F9" s="31">
        <v>8922</v>
      </c>
      <c r="G9" s="31">
        <v>40.22</v>
      </c>
      <c r="H9" s="31">
        <v>5780</v>
      </c>
      <c r="I9" s="31">
        <v>3512</v>
      </c>
      <c r="J9" s="31">
        <v>97.52</v>
      </c>
      <c r="K9" s="31">
        <v>11741</v>
      </c>
      <c r="L9" s="31">
        <v>3.49</v>
      </c>
      <c r="M9" s="31">
        <v>12417359</v>
      </c>
      <c r="N9" s="31">
        <v>51265971</v>
      </c>
      <c r="O9" s="1">
        <v>1010</v>
      </c>
    </row>
    <row r="10" s="1" customFormat="1" ht="13.1" spans="1:21">
      <c r="A10" s="89" t="s">
        <v>93</v>
      </c>
      <c r="B10" s="90" t="s">
        <v>194</v>
      </c>
      <c r="C10" s="91">
        <v>301</v>
      </c>
      <c r="D10" s="31">
        <v>7802</v>
      </c>
      <c r="E10" s="31">
        <v>142</v>
      </c>
      <c r="F10" s="31">
        <v>2402</v>
      </c>
      <c r="G10" s="31">
        <v>41.71</v>
      </c>
      <c r="H10" s="31">
        <v>2269</v>
      </c>
      <c r="I10" s="31">
        <v>14269</v>
      </c>
      <c r="J10" s="31">
        <v>96.9</v>
      </c>
      <c r="K10" s="31">
        <v>1612</v>
      </c>
      <c r="L10" s="31">
        <v>12.8</v>
      </c>
      <c r="M10" s="31">
        <v>1441360</v>
      </c>
      <c r="N10" s="31">
        <v>5852559</v>
      </c>
      <c r="O10" s="1">
        <v>314</v>
      </c>
    </row>
    <row r="11" s="1" customFormat="1" spans="1:21">
      <c r="A11" s="89" t="s">
        <v>94</v>
      </c>
      <c r="B11" s="90" t="s">
        <v>195</v>
      </c>
      <c r="C11" s="91">
        <v>599</v>
      </c>
      <c r="D11" s="31">
        <v>13739</v>
      </c>
      <c r="E11" s="31">
        <v>444</v>
      </c>
      <c r="F11" s="31">
        <v>4117</v>
      </c>
      <c r="G11" s="31">
        <v>44</v>
      </c>
      <c r="H11" s="31">
        <v>6900</v>
      </c>
      <c r="I11" s="31">
        <v>13428</v>
      </c>
      <c r="J11" s="31">
        <v>98.3</v>
      </c>
      <c r="K11" s="31">
        <v>7002</v>
      </c>
      <c r="L11" s="31">
        <v>6.55</v>
      </c>
      <c r="M11" s="31">
        <v>6928397</v>
      </c>
      <c r="N11" s="94" t="s">
        <v>196</v>
      </c>
      <c r="O11" s="4">
        <v>698</v>
      </c>
    </row>
    <row r="13" ht="54" spans="1:21">
      <c r="A13" s="39"/>
      <c r="B13" s="39" t="s">
        <v>61</v>
      </c>
      <c r="C13" s="39" t="s">
        <v>52</v>
      </c>
      <c r="D13" s="39" t="s">
        <v>8</v>
      </c>
      <c r="E13" s="39" t="s">
        <v>10</v>
      </c>
      <c r="F13" s="39" t="s">
        <v>11</v>
      </c>
      <c r="G13" s="39" t="s">
        <v>12</v>
      </c>
      <c r="H13" s="39" t="s">
        <v>13</v>
      </c>
      <c r="I13" s="39" t="s">
        <v>14</v>
      </c>
      <c r="J13" s="39" t="s">
        <v>15</v>
      </c>
      <c r="K13" s="39" t="s">
        <v>16</v>
      </c>
      <c r="L13" s="39" t="s">
        <v>17</v>
      </c>
      <c r="M13" s="39" t="s">
        <v>18</v>
      </c>
      <c r="N13" s="39" t="s">
        <v>19</v>
      </c>
      <c r="O13" s="39" t="s">
        <v>20</v>
      </c>
      <c r="P13" s="95" t="s">
        <v>21</v>
      </c>
      <c r="Q13" s="95" t="s">
        <v>22</v>
      </c>
      <c r="R13" s="95" t="s">
        <v>23</v>
      </c>
      <c r="S13" s="95" t="s">
        <v>24</v>
      </c>
      <c r="T13" s="95" t="s">
        <v>25</v>
      </c>
      <c r="U13" s="95" t="s">
        <v>26</v>
      </c>
    </row>
    <row r="14" spans="1:21">
      <c r="A14" s="4" t="s">
        <v>62</v>
      </c>
      <c r="B14" s="4">
        <v>3436</v>
      </c>
      <c r="C14" s="4">
        <v>233</v>
      </c>
      <c r="D14" s="4">
        <v>437.32</v>
      </c>
      <c r="E14" s="4">
        <v>1.98</v>
      </c>
      <c r="F14" s="4">
        <v>14784.83</v>
      </c>
      <c r="G14" s="4">
        <v>1971.88</v>
      </c>
      <c r="H14" s="4">
        <v>42759.6</v>
      </c>
      <c r="I14" s="4">
        <v>98.33</v>
      </c>
      <c r="J14" s="4">
        <v>35.47</v>
      </c>
      <c r="K14" s="4">
        <v>20.01</v>
      </c>
      <c r="L14" s="4">
        <v>0.31</v>
      </c>
      <c r="M14" s="4">
        <v>27.49</v>
      </c>
      <c r="N14" s="41">
        <v>0.0747</v>
      </c>
      <c r="O14" s="4">
        <v>46.87</v>
      </c>
      <c r="P14">
        <v>27.3</v>
      </c>
      <c r="Q14">
        <v>96.62</v>
      </c>
      <c r="R14">
        <v>4127</v>
      </c>
      <c r="S14">
        <v>3191</v>
      </c>
      <c r="T14" s="4">
        <v>97.67</v>
      </c>
      <c r="U14" s="4">
        <v>92.95</v>
      </c>
    </row>
    <row r="15" spans="1:21">
      <c r="A15" s="4" t="s">
        <v>63</v>
      </c>
      <c r="B15" s="4">
        <v>5995</v>
      </c>
      <c r="C15" s="4">
        <v>512</v>
      </c>
      <c r="D15" s="4">
        <v>782.18</v>
      </c>
      <c r="E15" s="4">
        <v>3.52</v>
      </c>
      <c r="F15" s="4">
        <v>15007.33</v>
      </c>
      <c r="G15" s="4">
        <v>2858.41</v>
      </c>
      <c r="H15" s="4">
        <v>44099.93</v>
      </c>
      <c r="I15" s="4">
        <v>99.56</v>
      </c>
      <c r="J15" s="4">
        <v>34.73</v>
      </c>
      <c r="K15" s="4">
        <v>23.34</v>
      </c>
      <c r="L15" s="4">
        <v>0.1</v>
      </c>
      <c r="M15" s="4">
        <v>38.66</v>
      </c>
      <c r="N15" s="41">
        <v>0.0316</v>
      </c>
      <c r="O15" s="4">
        <v>45.13</v>
      </c>
      <c r="P15">
        <v>10.23</v>
      </c>
      <c r="Q15">
        <v>92.7</v>
      </c>
      <c r="R15">
        <v>24039</v>
      </c>
      <c r="S15">
        <v>829</v>
      </c>
      <c r="T15" s="4">
        <v>98.28</v>
      </c>
      <c r="U15" s="4">
        <v>96.59</v>
      </c>
    </row>
    <row r="16" spans="1:21">
      <c r="A16" s="4" t="s">
        <v>64</v>
      </c>
      <c r="B16" s="4">
        <v>9392</v>
      </c>
      <c r="C16" s="4">
        <v>824</v>
      </c>
      <c r="D16" s="4">
        <v>499.21</v>
      </c>
      <c r="E16" s="4">
        <v>0.77</v>
      </c>
      <c r="F16" s="4">
        <v>8107.72</v>
      </c>
      <c r="G16" s="4">
        <v>7087.54</v>
      </c>
      <c r="H16" s="4">
        <v>50957.96</v>
      </c>
      <c r="I16" s="4">
        <v>94.39</v>
      </c>
      <c r="J16" s="4">
        <v>19.16</v>
      </c>
      <c r="K16" s="4">
        <v>7.39</v>
      </c>
      <c r="L16" s="4">
        <v>0.02</v>
      </c>
      <c r="M16" s="4">
        <v>70.88</v>
      </c>
      <c r="N16" s="41">
        <v>0.0411</v>
      </c>
      <c r="O16" s="4">
        <v>45.39</v>
      </c>
      <c r="P16">
        <v>5.83</v>
      </c>
      <c r="Q16">
        <v>94.66</v>
      </c>
      <c r="R16">
        <v>6255</v>
      </c>
      <c r="S16">
        <v>35854</v>
      </c>
      <c r="T16" s="4">
        <v>99.16</v>
      </c>
      <c r="U16" s="4">
        <v>98.46</v>
      </c>
    </row>
    <row r="17" spans="1:21">
      <c r="A17" s="4" t="s">
        <v>57</v>
      </c>
      <c r="B17" s="4">
        <v>38156</v>
      </c>
      <c r="C17" s="4">
        <v>2481</v>
      </c>
      <c r="D17" s="4">
        <v>1371.7</v>
      </c>
      <c r="E17" s="4">
        <v>6.02</v>
      </c>
      <c r="F17" s="4">
        <v>28879.88</v>
      </c>
      <c r="G17" s="4">
        <v>8009.51</v>
      </c>
      <c r="H17" s="4">
        <v>63875.67</v>
      </c>
      <c r="I17" s="4">
        <v>99.73</v>
      </c>
      <c r="J17" s="4">
        <v>58.02</v>
      </c>
      <c r="K17" s="4">
        <v>33.81</v>
      </c>
      <c r="L17" s="4">
        <v>0.049</v>
      </c>
      <c r="M17" s="4">
        <v>0.13</v>
      </c>
      <c r="N17" s="41">
        <v>0.2114</v>
      </c>
      <c r="O17" s="4">
        <v>39.7</v>
      </c>
      <c r="P17">
        <v>8.63</v>
      </c>
      <c r="Q17">
        <v>95.49</v>
      </c>
      <c r="R17">
        <v>34138</v>
      </c>
      <c r="S17">
        <v>7646</v>
      </c>
      <c r="T17" s="4">
        <v>99.54</v>
      </c>
      <c r="U17" s="4">
        <v>96.96</v>
      </c>
    </row>
    <row r="18" spans="1:21">
      <c r="A18" s="4" t="s">
        <v>65</v>
      </c>
      <c r="B18" s="4">
        <v>11741</v>
      </c>
      <c r="C18" s="4">
        <v>1010</v>
      </c>
      <c r="D18" s="4">
        <v>605.44</v>
      </c>
      <c r="E18" s="4">
        <v>1.04</v>
      </c>
      <c r="F18" s="4">
        <v>12294.41</v>
      </c>
      <c r="G18" s="4">
        <v>10196</v>
      </c>
      <c r="H18" s="4">
        <v>50758.39</v>
      </c>
      <c r="I18" s="4">
        <v>96.51</v>
      </c>
      <c r="J18" s="4">
        <v>66.19</v>
      </c>
      <c r="K18" s="4">
        <v>26.95</v>
      </c>
      <c r="L18" s="4">
        <v>0.28</v>
      </c>
      <c r="M18" s="4">
        <v>4.82</v>
      </c>
      <c r="N18" s="41">
        <v>0.0033</v>
      </c>
      <c r="O18" s="4">
        <v>40.22</v>
      </c>
      <c r="P18">
        <v>8.84</v>
      </c>
      <c r="Q18">
        <v>97.52</v>
      </c>
      <c r="R18">
        <v>5780</v>
      </c>
      <c r="S18">
        <v>3512</v>
      </c>
      <c r="T18" s="4">
        <v>99.45</v>
      </c>
      <c r="U18" s="4">
        <v>98.22</v>
      </c>
    </row>
    <row r="19" spans="1:21">
      <c r="A19" s="4" t="s">
        <v>59</v>
      </c>
      <c r="B19" s="4">
        <v>1612</v>
      </c>
      <c r="C19" s="4">
        <v>314</v>
      </c>
      <c r="D19" s="4">
        <v>369.83</v>
      </c>
      <c r="E19" s="4">
        <v>0.21</v>
      </c>
      <c r="F19" s="4">
        <v>4590.32</v>
      </c>
      <c r="G19" s="4">
        <v>981.23</v>
      </c>
      <c r="H19" s="4">
        <v>18638.73</v>
      </c>
      <c r="I19" s="4">
        <v>87.2</v>
      </c>
      <c r="J19" s="4">
        <v>41.3</v>
      </c>
      <c r="K19" s="4">
        <v>13.28</v>
      </c>
      <c r="L19" s="4">
        <v>5.76</v>
      </c>
      <c r="M19" s="4">
        <v>38.54</v>
      </c>
      <c r="N19" s="41">
        <v>0.0269</v>
      </c>
      <c r="O19" s="4">
        <v>41.71</v>
      </c>
      <c r="P19">
        <v>7.65</v>
      </c>
      <c r="Q19">
        <v>96.9</v>
      </c>
      <c r="R19">
        <v>2269</v>
      </c>
      <c r="S19">
        <v>14269</v>
      </c>
      <c r="T19" s="4">
        <v>99.14</v>
      </c>
      <c r="U19" s="4">
        <v>99.17</v>
      </c>
    </row>
    <row r="20" spans="1:21">
      <c r="A20" s="4" t="s">
        <v>66</v>
      </c>
      <c r="B20" s="4">
        <v>7002</v>
      </c>
      <c r="C20" s="4">
        <v>698</v>
      </c>
      <c r="D20" s="4">
        <v>374.15</v>
      </c>
      <c r="E20" s="4">
        <v>0.51</v>
      </c>
      <c r="F20" s="4">
        <v>9926.07</v>
      </c>
      <c r="G20" s="4">
        <v>1460.4</v>
      </c>
      <c r="H20" s="4">
        <v>56571.64</v>
      </c>
      <c r="I20" s="4">
        <v>93.45</v>
      </c>
      <c r="J20" s="4">
        <v>50.02</v>
      </c>
      <c r="K20" s="42">
        <v>19.5</v>
      </c>
      <c r="L20" s="4">
        <v>1.45</v>
      </c>
      <c r="M20" s="4">
        <v>24.76</v>
      </c>
      <c r="N20" s="41">
        <v>0.023</v>
      </c>
      <c r="O20" s="4">
        <v>44</v>
      </c>
      <c r="P20">
        <v>5.9</v>
      </c>
      <c r="Q20">
        <v>98.3</v>
      </c>
      <c r="R20">
        <v>6900</v>
      </c>
      <c r="S20">
        <v>13428</v>
      </c>
      <c r="T20" s="4">
        <v>99.65</v>
      </c>
      <c r="U20" s="4">
        <v>98.87</v>
      </c>
    </row>
    <row r="21" spans="1:21">
      <c r="A21" s="1">
        <v>233</v>
      </c>
      <c r="B21" s="91">
        <v>133</v>
      </c>
      <c r="C21" s="4">
        <f t="shared" ref="C21:C27" si="0">B21/A21</f>
        <v>0.570815450643777</v>
      </c>
      <c r="D21" s="4">
        <f t="shared" ref="D21:D27" si="1">ROUND(D14*C21,2)</f>
        <v>249.63</v>
      </c>
      <c r="E21" s="4"/>
      <c r="F21" s="4">
        <f t="shared" ref="F21:F27" si="2">ROUND(F14*C21,2)</f>
        <v>8439.41</v>
      </c>
      <c r="G21" s="4"/>
      <c r="H21" s="4">
        <f t="shared" ref="H21:H27" si="3">ROUND(H14*C21,2)</f>
        <v>24407.84</v>
      </c>
      <c r="I21" s="4"/>
      <c r="J21" s="4"/>
      <c r="K21" s="4"/>
      <c r="L21" s="4"/>
      <c r="M21" s="4"/>
      <c r="N21" s="4"/>
      <c r="O21" s="4"/>
      <c r="P21" s="4">
        <f t="shared" ref="P21:P27" si="4">ROUND(P14*C21,2)</f>
        <v>15.58</v>
      </c>
    </row>
    <row r="22" spans="1:21">
      <c r="A22" s="1">
        <v>512</v>
      </c>
      <c r="B22" s="91">
        <v>261</v>
      </c>
      <c r="C22" s="4">
        <f t="shared" si="0"/>
        <v>0.509765625</v>
      </c>
      <c r="D22" s="4">
        <f t="shared" si="1"/>
        <v>398.73</v>
      </c>
      <c r="E22" s="4"/>
      <c r="F22" s="4">
        <f t="shared" si="2"/>
        <v>7650.22</v>
      </c>
      <c r="G22" s="4"/>
      <c r="H22" s="4">
        <f t="shared" si="3"/>
        <v>22480.63</v>
      </c>
      <c r="I22" s="4"/>
      <c r="J22" s="4"/>
      <c r="K22" s="4"/>
      <c r="L22" s="4"/>
      <c r="M22" s="4"/>
      <c r="N22" s="4"/>
      <c r="O22" s="4"/>
      <c r="P22" s="4">
        <f t="shared" si="4"/>
        <v>5.21</v>
      </c>
    </row>
    <row r="23" spans="1:21">
      <c r="A23" s="1">
        <v>824</v>
      </c>
      <c r="B23" s="91">
        <v>710</v>
      </c>
      <c r="C23" s="4">
        <f t="shared" si="0"/>
        <v>0.861650485436893</v>
      </c>
      <c r="D23" s="4">
        <f t="shared" si="1"/>
        <v>430.14</v>
      </c>
      <c r="E23" s="4"/>
      <c r="F23" s="4">
        <f t="shared" si="2"/>
        <v>6986.02</v>
      </c>
      <c r="G23" s="4"/>
      <c r="H23" s="4">
        <f t="shared" si="3"/>
        <v>43907.95</v>
      </c>
      <c r="I23" s="4"/>
      <c r="J23" s="4"/>
      <c r="K23" s="4"/>
      <c r="L23" s="4"/>
      <c r="M23" s="4"/>
      <c r="N23" s="4"/>
      <c r="O23" s="4"/>
      <c r="P23" s="4">
        <f t="shared" si="4"/>
        <v>5.02</v>
      </c>
    </row>
    <row r="24" spans="1:21">
      <c r="A24" s="1">
        <v>2481</v>
      </c>
      <c r="B24" s="91">
        <v>1469</v>
      </c>
      <c r="C24" s="4">
        <f t="shared" si="0"/>
        <v>0.592099959693672</v>
      </c>
      <c r="D24" s="4">
        <f t="shared" si="1"/>
        <v>812.18</v>
      </c>
      <c r="E24" s="4"/>
      <c r="F24" s="4">
        <f t="shared" si="2"/>
        <v>17099.78</v>
      </c>
      <c r="G24" s="4"/>
      <c r="H24" s="4">
        <f t="shared" si="3"/>
        <v>37820.78</v>
      </c>
      <c r="I24" s="4"/>
      <c r="J24" s="4"/>
      <c r="K24" s="4"/>
      <c r="L24" s="4"/>
      <c r="M24" s="4"/>
      <c r="N24" s="4"/>
      <c r="O24" s="4"/>
      <c r="P24" s="4">
        <f t="shared" si="4"/>
        <v>5.11</v>
      </c>
    </row>
    <row r="25" spans="1:21">
      <c r="A25" s="1">
        <v>1010</v>
      </c>
      <c r="B25" s="91">
        <v>831</v>
      </c>
      <c r="C25" s="4">
        <f t="shared" si="0"/>
        <v>0.822772277227723</v>
      </c>
      <c r="D25" s="4">
        <f t="shared" si="1"/>
        <v>498.14</v>
      </c>
      <c r="E25" s="4"/>
      <c r="F25" s="4">
        <f t="shared" si="2"/>
        <v>10115.5</v>
      </c>
      <c r="G25" s="4"/>
      <c r="H25" s="4">
        <f t="shared" si="3"/>
        <v>41762.6</v>
      </c>
      <c r="I25" s="4"/>
      <c r="J25" s="4"/>
      <c r="K25" s="4"/>
      <c r="L25" s="4"/>
      <c r="M25" s="4"/>
      <c r="N25" s="4"/>
      <c r="O25" s="4"/>
      <c r="P25" s="4">
        <f t="shared" si="4"/>
        <v>7.27</v>
      </c>
    </row>
    <row r="26" spans="1:21">
      <c r="A26" s="1">
        <v>314</v>
      </c>
      <c r="B26" s="91">
        <v>301</v>
      </c>
      <c r="C26" s="4">
        <f t="shared" si="0"/>
        <v>0.95859872611465</v>
      </c>
      <c r="D26" s="4">
        <f t="shared" si="1"/>
        <v>354.52</v>
      </c>
      <c r="E26" s="4"/>
      <c r="F26" s="4">
        <f t="shared" si="2"/>
        <v>4400.27</v>
      </c>
      <c r="G26" s="4"/>
      <c r="H26" s="4">
        <f t="shared" si="3"/>
        <v>17867.06</v>
      </c>
      <c r="I26" s="4"/>
      <c r="J26" s="4"/>
      <c r="K26" s="4"/>
      <c r="L26" s="4"/>
      <c r="M26" s="4"/>
      <c r="N26" s="4"/>
      <c r="O26" s="4"/>
      <c r="P26" s="4">
        <f t="shared" si="4"/>
        <v>7.33</v>
      </c>
    </row>
    <row r="27" spans="1:21">
      <c r="A27" s="4">
        <v>698</v>
      </c>
      <c r="B27" s="91">
        <v>599</v>
      </c>
      <c r="C27" s="4">
        <f t="shared" si="0"/>
        <v>0.858166189111748</v>
      </c>
      <c r="D27" s="4">
        <f t="shared" si="1"/>
        <v>321.08</v>
      </c>
      <c r="E27" s="4"/>
      <c r="F27" s="4">
        <f t="shared" si="2"/>
        <v>8518.22</v>
      </c>
      <c r="G27" s="4"/>
      <c r="H27" s="4">
        <f t="shared" si="3"/>
        <v>48547.87</v>
      </c>
      <c r="I27" s="4"/>
      <c r="J27" s="4"/>
      <c r="K27" s="4"/>
      <c r="L27" s="4"/>
      <c r="M27" s="4"/>
      <c r="N27" s="4"/>
      <c r="O27" s="4"/>
      <c r="P27" s="4">
        <f t="shared" si="4"/>
        <v>5.06</v>
      </c>
    </row>
  </sheetData>
  <mergeCells count="16">
    <mergeCell ref="D1:E1"/>
    <mergeCell ref="A3:A4"/>
    <mergeCell ref="B3:B4"/>
    <mergeCell ref="C1:C2"/>
    <mergeCell ref="D2:D3"/>
    <mergeCell ref="G3:G4"/>
    <mergeCell ref="J1:J2"/>
    <mergeCell ref="J3:J4"/>
    <mergeCell ref="K1:K2"/>
    <mergeCell ref="L1:L2"/>
    <mergeCell ref="M1:M2"/>
    <mergeCell ref="M3:M4"/>
    <mergeCell ref="N1:N2"/>
    <mergeCell ref="A1:B2"/>
    <mergeCell ref="F1:G2"/>
    <mergeCell ref="H1:I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opLeftCell="A2" workbookViewId="0">
      <selection activeCell="N15" sqref="N15:N21"/>
    </sheetView>
  </sheetViews>
  <sheetFormatPr defaultColWidth="9" defaultRowHeight="13.5"/>
  <cols>
    <col min="1" max="5" width="9" style="4"/>
    <col min="6" max="6" width="9.3716814159292" style="4"/>
    <col min="7" max="7" width="9" style="4"/>
    <col min="8" max="8" width="10.3716814159292" style="4"/>
    <col min="9" max="21" width="9" style="4"/>
  </cols>
  <sheetData>
    <row r="1" s="1" customFormat="1" ht="34" customHeight="1" spans="1:21">
      <c r="A1" s="5" t="s">
        <v>197</v>
      </c>
      <c r="B1" s="6"/>
      <c r="C1" s="7" t="s">
        <v>198</v>
      </c>
      <c r="D1" s="7" t="s">
        <v>199</v>
      </c>
      <c r="E1" s="7" t="s">
        <v>200</v>
      </c>
      <c r="F1" s="7"/>
      <c r="G1" s="8"/>
      <c r="H1" s="8"/>
      <c r="I1" s="8"/>
      <c r="J1" s="8"/>
      <c r="K1" s="7" t="s">
        <v>201</v>
      </c>
      <c r="L1" s="7" t="s">
        <v>202</v>
      </c>
      <c r="M1" s="8" t="s">
        <v>203</v>
      </c>
      <c r="N1" s="7" t="s">
        <v>204</v>
      </c>
      <c r="O1" s="9"/>
      <c r="P1" s="9"/>
      <c r="Q1" s="9"/>
      <c r="R1" s="9"/>
      <c r="S1" s="9"/>
      <c r="T1" s="9"/>
      <c r="U1" s="9"/>
    </row>
    <row r="2" s="1" customFormat="1" ht="34" customHeight="1" spans="1:21">
      <c r="A2" s="10"/>
      <c r="B2" s="11"/>
      <c r="C2" s="12"/>
      <c r="D2" s="43"/>
      <c r="E2" s="12"/>
      <c r="F2" s="12"/>
      <c r="G2" s="13"/>
      <c r="H2" s="13"/>
      <c r="I2" s="13"/>
      <c r="J2" s="13"/>
      <c r="K2" s="12"/>
      <c r="L2" s="12"/>
      <c r="M2" s="13"/>
      <c r="N2" s="12"/>
      <c r="O2" s="9"/>
      <c r="P2" s="9"/>
      <c r="Q2" s="9"/>
      <c r="R2" s="9"/>
      <c r="S2" s="9"/>
      <c r="T2" s="9"/>
      <c r="U2" s="9"/>
    </row>
    <row r="3" s="2" customFormat="1" ht="28" customHeight="1" spans="1:21">
      <c r="A3" s="14" t="s">
        <v>73</v>
      </c>
      <c r="B3" s="14" t="s">
        <v>116</v>
      </c>
      <c r="C3" s="15" t="s">
        <v>205</v>
      </c>
      <c r="D3" s="44" t="s">
        <v>206</v>
      </c>
      <c r="E3" s="68" t="s">
        <v>207</v>
      </c>
      <c r="F3" s="69"/>
      <c r="G3" s="45"/>
      <c r="H3" s="15" t="s">
        <v>176</v>
      </c>
      <c r="I3" s="16" t="s">
        <v>177</v>
      </c>
      <c r="J3" s="15" t="s">
        <v>51</v>
      </c>
      <c r="K3" s="17" t="s">
        <v>179</v>
      </c>
      <c r="L3" s="15" t="s">
        <v>208</v>
      </c>
      <c r="M3" s="16" t="s">
        <v>151</v>
      </c>
      <c r="N3" s="15" t="s">
        <v>181</v>
      </c>
    </row>
    <row r="4" s="2" customFormat="1" ht="39" customHeight="1" spans="1:21">
      <c r="A4" s="18"/>
      <c r="B4" s="18"/>
      <c r="C4" s="19"/>
      <c r="D4" s="46"/>
      <c r="E4" s="70"/>
      <c r="F4" s="71"/>
      <c r="G4" s="47"/>
      <c r="H4" s="21"/>
      <c r="I4" s="20"/>
      <c r="J4" s="21" t="s">
        <v>209</v>
      </c>
      <c r="K4" s="17" t="s">
        <v>210</v>
      </c>
      <c r="L4" s="22" t="s">
        <v>157</v>
      </c>
      <c r="M4" s="48"/>
      <c r="N4" s="19" t="s">
        <v>159</v>
      </c>
    </row>
    <row r="5" s="2" customFormat="1" ht="46" customHeight="1" spans="1:21">
      <c r="A5" s="23"/>
      <c r="B5" s="23"/>
      <c r="C5" s="24" t="s">
        <v>182</v>
      </c>
      <c r="D5" s="24" t="s">
        <v>184</v>
      </c>
      <c r="E5" s="19"/>
      <c r="F5" s="24" t="s">
        <v>211</v>
      </c>
      <c r="G5" s="24" t="s">
        <v>185</v>
      </c>
      <c r="H5" s="19"/>
      <c r="I5" s="22" t="s">
        <v>212</v>
      </c>
      <c r="J5" s="19" t="s">
        <v>213</v>
      </c>
      <c r="K5" s="24" t="s">
        <v>187</v>
      </c>
      <c r="L5" s="22" t="s">
        <v>187</v>
      </c>
      <c r="M5" s="22"/>
      <c r="N5" s="24" t="s">
        <v>188</v>
      </c>
    </row>
    <row r="6" s="1" customFormat="1" ht="13.1" spans="1:21">
      <c r="A6" s="72" t="s">
        <v>89</v>
      </c>
      <c r="B6" s="73" t="s">
        <v>189</v>
      </c>
      <c r="C6" s="74">
        <v>139</v>
      </c>
      <c r="D6" s="74">
        <v>153</v>
      </c>
      <c r="E6" s="74">
        <v>402</v>
      </c>
      <c r="F6" s="74">
        <v>107</v>
      </c>
      <c r="G6" s="74">
        <v>6193</v>
      </c>
      <c r="H6" s="74">
        <v>45.77</v>
      </c>
      <c r="I6" s="74">
        <v>2434</v>
      </c>
      <c r="J6" s="74">
        <v>97.18</v>
      </c>
      <c r="K6" s="74">
        <v>3482</v>
      </c>
      <c r="L6" s="74">
        <v>1.72</v>
      </c>
      <c r="M6" s="74">
        <v>3791327</v>
      </c>
      <c r="N6" s="74">
        <v>9212612</v>
      </c>
      <c r="O6" s="31">
        <v>1736</v>
      </c>
      <c r="P6" s="9">
        <v>245</v>
      </c>
      <c r="Q6" s="9"/>
      <c r="R6" s="9"/>
      <c r="S6" s="9"/>
      <c r="T6" s="9"/>
      <c r="U6" s="9"/>
    </row>
    <row r="7" s="1" customFormat="1" ht="13.1" spans="1:21">
      <c r="A7" s="72" t="s">
        <v>90</v>
      </c>
      <c r="B7" s="73" t="s">
        <v>190</v>
      </c>
      <c r="C7" s="74">
        <v>273</v>
      </c>
      <c r="D7" s="74">
        <v>402</v>
      </c>
      <c r="E7" s="74">
        <v>393</v>
      </c>
      <c r="F7" s="74">
        <v>105</v>
      </c>
      <c r="G7" s="74">
        <v>5372</v>
      </c>
      <c r="H7" s="74">
        <v>45.52</v>
      </c>
      <c r="I7" s="74">
        <v>427</v>
      </c>
      <c r="J7" s="74">
        <v>94.55</v>
      </c>
      <c r="K7" s="74">
        <v>6384</v>
      </c>
      <c r="L7" s="74">
        <v>0.45</v>
      </c>
      <c r="M7" s="74">
        <v>7839392</v>
      </c>
      <c r="N7" s="74">
        <v>22938702</v>
      </c>
      <c r="O7" s="31">
        <v>1701</v>
      </c>
      <c r="P7" s="9">
        <v>518</v>
      </c>
      <c r="Q7" s="9"/>
      <c r="R7" s="9"/>
      <c r="S7" s="9"/>
      <c r="T7" s="9"/>
      <c r="U7" s="9"/>
    </row>
    <row r="8" s="1" customFormat="1" ht="13.1" spans="1:21">
      <c r="A8" s="72" t="s">
        <v>91</v>
      </c>
      <c r="B8" s="73" t="s">
        <v>191</v>
      </c>
      <c r="C8" s="74">
        <v>715</v>
      </c>
      <c r="D8" s="74">
        <v>305</v>
      </c>
      <c r="E8" s="75"/>
      <c r="F8" s="75"/>
      <c r="G8" s="74">
        <v>5273</v>
      </c>
      <c r="H8" s="74">
        <v>45.4</v>
      </c>
      <c r="I8" s="74">
        <v>13237</v>
      </c>
      <c r="J8" s="74">
        <v>95.28</v>
      </c>
      <c r="K8" s="74">
        <v>10020</v>
      </c>
      <c r="L8" s="74">
        <v>5.6</v>
      </c>
      <c r="M8" s="74">
        <v>6756083</v>
      </c>
      <c r="N8" s="74">
        <v>42256055</v>
      </c>
      <c r="O8" s="31">
        <v>12255</v>
      </c>
      <c r="P8" s="9">
        <v>832</v>
      </c>
      <c r="Q8" s="9"/>
      <c r="R8" s="9"/>
      <c r="S8" s="9"/>
      <c r="T8" s="9"/>
      <c r="U8" s="9"/>
    </row>
    <row r="9" s="3" customFormat="1" ht="13.1" spans="1:21">
      <c r="A9" s="76" t="s">
        <v>57</v>
      </c>
      <c r="B9" s="77" t="s">
        <v>192</v>
      </c>
      <c r="C9" s="74">
        <v>1470</v>
      </c>
      <c r="D9" s="74">
        <v>1238</v>
      </c>
      <c r="E9" s="74">
        <v>1945</v>
      </c>
      <c r="F9" s="74">
        <v>550</v>
      </c>
      <c r="G9" s="74">
        <v>21981</v>
      </c>
      <c r="H9" s="74">
        <v>37.32</v>
      </c>
      <c r="I9" s="74">
        <v>5200</v>
      </c>
      <c r="J9" s="75"/>
      <c r="K9" s="74">
        <v>38701</v>
      </c>
      <c r="L9" s="74">
        <v>0.27</v>
      </c>
      <c r="M9" s="74">
        <v>70462987</v>
      </c>
      <c r="N9" s="74">
        <v>159325030</v>
      </c>
      <c r="O9" s="31">
        <v>6341</v>
      </c>
      <c r="P9" s="36">
        <v>2488</v>
      </c>
      <c r="Q9" s="36"/>
      <c r="R9" s="36"/>
      <c r="S9" s="36"/>
      <c r="T9" s="36"/>
      <c r="U9" s="36"/>
    </row>
    <row r="10" s="1" customFormat="1" ht="13.1" spans="1:21">
      <c r="A10" s="72" t="s">
        <v>92</v>
      </c>
      <c r="B10" s="73" t="s">
        <v>193</v>
      </c>
      <c r="C10" s="74">
        <v>846</v>
      </c>
      <c r="D10" s="74">
        <v>758</v>
      </c>
      <c r="E10" s="74">
        <v>651</v>
      </c>
      <c r="F10" s="74">
        <v>163</v>
      </c>
      <c r="G10" s="74">
        <v>10508</v>
      </c>
      <c r="H10" s="74">
        <v>41</v>
      </c>
      <c r="I10" s="74">
        <v>3317</v>
      </c>
      <c r="J10" s="74">
        <v>98.19</v>
      </c>
      <c r="K10" s="74">
        <v>12401</v>
      </c>
      <c r="L10" s="74">
        <v>3.43</v>
      </c>
      <c r="M10" s="74">
        <v>12538548</v>
      </c>
      <c r="N10" s="74">
        <v>52034957</v>
      </c>
      <c r="O10" s="31">
        <v>11293</v>
      </c>
      <c r="P10" s="9">
        <v>1025</v>
      </c>
      <c r="Q10" s="9"/>
      <c r="R10" s="9"/>
      <c r="S10" s="9"/>
      <c r="T10" s="9"/>
      <c r="U10" s="9"/>
    </row>
    <row r="11" s="1" customFormat="1" ht="25.5" spans="1:21">
      <c r="A11" s="72" t="s">
        <v>93</v>
      </c>
      <c r="B11" s="73" t="s">
        <v>194</v>
      </c>
      <c r="C11" s="74">
        <v>300</v>
      </c>
      <c r="D11" s="74">
        <v>145</v>
      </c>
      <c r="E11" s="74">
        <v>142</v>
      </c>
      <c r="F11" s="74">
        <v>40</v>
      </c>
      <c r="G11" s="74">
        <v>2406</v>
      </c>
      <c r="H11" s="74">
        <v>41.2</v>
      </c>
      <c r="I11" s="74">
        <v>5604</v>
      </c>
      <c r="J11" s="74">
        <v>97</v>
      </c>
      <c r="K11" s="74">
        <v>1686</v>
      </c>
      <c r="L11" s="74">
        <v>13.82</v>
      </c>
      <c r="M11" s="74">
        <v>1584886</v>
      </c>
      <c r="N11" s="74">
        <v>5644041</v>
      </c>
      <c r="O11" s="31">
        <v>7802</v>
      </c>
      <c r="P11" s="9">
        <v>313</v>
      </c>
      <c r="Q11" s="9"/>
      <c r="R11" s="9"/>
      <c r="S11" s="9"/>
      <c r="T11" s="9"/>
      <c r="U11" s="9"/>
    </row>
    <row r="12" s="1" customFormat="1" ht="13.1" spans="1:21">
      <c r="A12" s="72" t="s">
        <v>94</v>
      </c>
      <c r="B12" s="73" t="s">
        <v>195</v>
      </c>
      <c r="C12" s="74">
        <v>601</v>
      </c>
      <c r="D12" s="74">
        <v>444</v>
      </c>
      <c r="E12" s="75"/>
      <c r="F12" s="75"/>
      <c r="G12" s="74">
        <v>4423</v>
      </c>
      <c r="H12" s="74">
        <v>45.34</v>
      </c>
      <c r="I12" s="74">
        <v>10246</v>
      </c>
      <c r="J12" s="74">
        <v>98.5</v>
      </c>
      <c r="K12" s="74">
        <v>7030</v>
      </c>
      <c r="L12" s="74">
        <v>6.53</v>
      </c>
      <c r="M12" s="74">
        <v>7026822</v>
      </c>
      <c r="N12" s="74">
        <v>18279958</v>
      </c>
      <c r="O12" s="31">
        <v>13739</v>
      </c>
      <c r="P12" s="9">
        <v>745</v>
      </c>
      <c r="Q12" s="9"/>
      <c r="R12" s="9"/>
      <c r="S12" s="9"/>
      <c r="T12" s="9"/>
      <c r="U12" s="9"/>
    </row>
    <row r="14" ht="54" spans="1:21">
      <c r="A14" s="39"/>
      <c r="B14" s="39" t="s">
        <v>61</v>
      </c>
      <c r="C14" s="39" t="s">
        <v>52</v>
      </c>
      <c r="D14" s="39" t="s">
        <v>8</v>
      </c>
      <c r="E14" s="39" t="s">
        <v>10</v>
      </c>
      <c r="F14" s="39" t="s">
        <v>11</v>
      </c>
      <c r="G14" s="39" t="s">
        <v>12</v>
      </c>
      <c r="H14" s="39" t="s">
        <v>13</v>
      </c>
      <c r="I14" s="39" t="s">
        <v>14</v>
      </c>
      <c r="J14" s="39" t="s">
        <v>15</v>
      </c>
      <c r="K14" s="39" t="s">
        <v>16</v>
      </c>
      <c r="L14" s="39" t="s">
        <v>17</v>
      </c>
      <c r="M14" s="39" t="s">
        <v>18</v>
      </c>
      <c r="N14" s="39" t="s">
        <v>19</v>
      </c>
      <c r="O14" s="39" t="s">
        <v>20</v>
      </c>
      <c r="P14" s="39" t="s">
        <v>21</v>
      </c>
      <c r="Q14" s="39" t="s">
        <v>22</v>
      </c>
      <c r="R14" s="39" t="s">
        <v>23</v>
      </c>
      <c r="S14" s="39" t="s">
        <v>24</v>
      </c>
      <c r="T14" s="39" t="s">
        <v>25</v>
      </c>
      <c r="U14" s="39" t="s">
        <v>26</v>
      </c>
    </row>
    <row r="15" spans="1:21">
      <c r="A15" s="4" t="s">
        <v>62</v>
      </c>
      <c r="B15" s="4">
        <v>3482</v>
      </c>
      <c r="C15" s="4">
        <v>245</v>
      </c>
      <c r="D15" s="4">
        <v>454.27</v>
      </c>
      <c r="E15" s="4">
        <v>2.01</v>
      </c>
      <c r="F15" s="4">
        <v>15474.8</v>
      </c>
      <c r="G15" s="4">
        <v>2230.41</v>
      </c>
      <c r="H15" s="4">
        <v>37602.5</v>
      </c>
      <c r="I15" s="4">
        <v>98.28</v>
      </c>
      <c r="J15" s="4">
        <v>36.18</v>
      </c>
      <c r="K15" s="4">
        <v>20.51</v>
      </c>
      <c r="L15" s="4">
        <v>0.27</v>
      </c>
      <c r="M15" s="4">
        <v>27.13</v>
      </c>
      <c r="N15" s="41">
        <v>0.0753</v>
      </c>
      <c r="O15" s="4">
        <v>45.77</v>
      </c>
      <c r="P15" s="4">
        <v>25.28</v>
      </c>
      <c r="Q15" s="4">
        <v>97.18</v>
      </c>
      <c r="R15" s="4">
        <v>3765</v>
      </c>
      <c r="S15" s="4">
        <v>2434</v>
      </c>
      <c r="T15" s="4">
        <v>97.68</v>
      </c>
      <c r="U15" s="4">
        <v>91.66</v>
      </c>
    </row>
    <row r="16" spans="1:21">
      <c r="A16" s="4" t="s">
        <v>63</v>
      </c>
      <c r="B16" s="4">
        <v>6384</v>
      </c>
      <c r="C16" s="4">
        <v>518</v>
      </c>
      <c r="D16" s="4">
        <v>845.85</v>
      </c>
      <c r="E16" s="4">
        <v>3.75</v>
      </c>
      <c r="F16" s="4">
        <v>15133.96</v>
      </c>
      <c r="G16" s="4">
        <v>3108.95</v>
      </c>
      <c r="H16" s="4">
        <v>44283.21</v>
      </c>
      <c r="I16" s="4">
        <v>99.55</v>
      </c>
      <c r="J16" s="4">
        <v>34.61</v>
      </c>
      <c r="K16" s="4">
        <v>23.64</v>
      </c>
      <c r="L16" s="4">
        <v>0.09</v>
      </c>
      <c r="M16" s="4">
        <v>38.67</v>
      </c>
      <c r="N16" s="41">
        <v>0.0304</v>
      </c>
      <c r="O16" s="4">
        <v>45.52</v>
      </c>
      <c r="P16" s="4">
        <v>10.37</v>
      </c>
      <c r="Q16" s="4">
        <v>94.55</v>
      </c>
      <c r="R16" s="4">
        <v>24038</v>
      </c>
      <c r="S16" s="4">
        <v>427</v>
      </c>
      <c r="T16" s="4">
        <v>98.26</v>
      </c>
      <c r="U16" s="4">
        <v>96.34</v>
      </c>
    </row>
    <row r="17" spans="1:21">
      <c r="A17" s="4" t="s">
        <v>64</v>
      </c>
      <c r="B17" s="4">
        <v>10020</v>
      </c>
      <c r="C17" s="4">
        <v>832</v>
      </c>
      <c r="D17" s="4">
        <v>501.39</v>
      </c>
      <c r="E17" s="4">
        <v>0.82</v>
      </c>
      <c r="F17" s="4">
        <v>8120.29</v>
      </c>
      <c r="G17" s="4">
        <v>7856.66</v>
      </c>
      <c r="H17" s="4">
        <v>50788.53</v>
      </c>
      <c r="I17" s="4">
        <v>94.4</v>
      </c>
      <c r="J17" s="4">
        <v>19.45</v>
      </c>
      <c r="K17" s="4">
        <v>7.51</v>
      </c>
      <c r="L17" s="4">
        <v>0.02</v>
      </c>
      <c r="M17" s="4">
        <v>70.53</v>
      </c>
      <c r="N17" s="41">
        <v>0.0408</v>
      </c>
      <c r="O17" s="4">
        <v>45.4</v>
      </c>
      <c r="P17" s="4">
        <v>6.33</v>
      </c>
      <c r="Q17" s="4">
        <v>95.28</v>
      </c>
      <c r="R17" s="4">
        <v>6254</v>
      </c>
      <c r="S17" s="4">
        <v>13237</v>
      </c>
      <c r="T17" s="4">
        <v>98.93</v>
      </c>
      <c r="U17" s="4">
        <v>98.1</v>
      </c>
    </row>
    <row r="18" spans="1:21">
      <c r="A18" s="4" t="s">
        <v>57</v>
      </c>
      <c r="B18" s="4">
        <v>38701</v>
      </c>
      <c r="C18" s="4">
        <v>2488</v>
      </c>
      <c r="D18" s="4">
        <v>1369.71</v>
      </c>
      <c r="E18" s="4">
        <v>6.1</v>
      </c>
      <c r="F18" s="4">
        <v>28321.13</v>
      </c>
      <c r="G18" s="4">
        <v>8834.48</v>
      </c>
      <c r="H18" s="4">
        <v>64037.39</v>
      </c>
      <c r="I18" s="4">
        <v>99.73</v>
      </c>
      <c r="J18" s="4">
        <v>57.96</v>
      </c>
      <c r="K18" s="4">
        <v>34.07</v>
      </c>
      <c r="L18" s="4">
        <v>0.048</v>
      </c>
      <c r="M18" s="4">
        <v>0.12</v>
      </c>
      <c r="N18" s="41">
        <v>0.2076</v>
      </c>
      <c r="O18" s="4">
        <v>37.32</v>
      </c>
      <c r="P18" s="4">
        <v>8.83</v>
      </c>
      <c r="Q18" s="4">
        <v>95</v>
      </c>
      <c r="R18" s="4">
        <v>31200</v>
      </c>
      <c r="S18" s="4">
        <v>5200</v>
      </c>
      <c r="T18" s="4">
        <v>99.53</v>
      </c>
      <c r="U18" s="4">
        <v>96.45</v>
      </c>
    </row>
    <row r="19" spans="1:21">
      <c r="A19" s="4" t="s">
        <v>65</v>
      </c>
      <c r="B19" s="4">
        <v>12401</v>
      </c>
      <c r="C19" s="4">
        <v>1025</v>
      </c>
      <c r="D19" s="4">
        <v>618.31</v>
      </c>
      <c r="E19" s="4">
        <v>1.1</v>
      </c>
      <c r="F19" s="4">
        <v>12232.73</v>
      </c>
      <c r="G19" s="4">
        <v>10522</v>
      </c>
      <c r="H19" s="4">
        <v>50765.81</v>
      </c>
      <c r="I19" s="4">
        <v>96.57</v>
      </c>
      <c r="J19" s="4">
        <v>66</v>
      </c>
      <c r="K19" s="4">
        <v>27.35</v>
      </c>
      <c r="L19" s="4">
        <v>0.26</v>
      </c>
      <c r="M19" s="4">
        <v>4.69</v>
      </c>
      <c r="N19" s="41">
        <v>0.0036</v>
      </c>
      <c r="O19" s="4">
        <v>41</v>
      </c>
      <c r="P19" s="4">
        <v>10.25</v>
      </c>
      <c r="Q19" s="4">
        <v>98.19</v>
      </c>
      <c r="R19" s="4">
        <v>5695</v>
      </c>
      <c r="S19" s="4">
        <v>3317</v>
      </c>
      <c r="T19" s="4">
        <v>99.06</v>
      </c>
      <c r="U19" s="4">
        <v>97.58</v>
      </c>
    </row>
    <row r="20" spans="1:21">
      <c r="A20" s="4" t="s">
        <v>59</v>
      </c>
      <c r="B20" s="4">
        <v>1686</v>
      </c>
      <c r="C20" s="4">
        <v>313</v>
      </c>
      <c r="D20" s="4">
        <v>368.55</v>
      </c>
      <c r="E20" s="4">
        <v>0.22</v>
      </c>
      <c r="F20" s="4">
        <v>5063.53</v>
      </c>
      <c r="G20" s="4">
        <v>1025.38</v>
      </c>
      <c r="H20" s="4">
        <v>18032.08</v>
      </c>
      <c r="I20" s="4">
        <v>86.18</v>
      </c>
      <c r="J20" s="4">
        <v>41.28</v>
      </c>
      <c r="K20" s="4">
        <v>13.42</v>
      </c>
      <c r="L20" s="4">
        <v>5.83</v>
      </c>
      <c r="M20" s="4">
        <v>38.37</v>
      </c>
      <c r="N20" s="41">
        <v>0.0228</v>
      </c>
      <c r="O20" s="4">
        <v>41.2</v>
      </c>
      <c r="P20" s="4">
        <v>7.69</v>
      </c>
      <c r="Q20" s="4">
        <v>97</v>
      </c>
      <c r="R20" s="4">
        <v>1726</v>
      </c>
      <c r="S20" s="4">
        <v>5604</v>
      </c>
      <c r="T20" s="4">
        <v>99</v>
      </c>
      <c r="U20" s="4">
        <v>98.94</v>
      </c>
    </row>
    <row r="21" spans="1:21">
      <c r="A21" s="4" t="s">
        <v>66</v>
      </c>
      <c r="B21" s="4">
        <v>7030</v>
      </c>
      <c r="C21" s="4">
        <v>745</v>
      </c>
      <c r="D21" s="4">
        <v>352.89</v>
      </c>
      <c r="E21" s="4">
        <v>0.51</v>
      </c>
      <c r="F21" s="4">
        <v>9431.97</v>
      </c>
      <c r="G21" s="4">
        <v>1461.5</v>
      </c>
      <c r="H21" s="4">
        <v>24536.85</v>
      </c>
      <c r="I21" s="4">
        <v>93.47</v>
      </c>
      <c r="J21" s="4">
        <v>49.89</v>
      </c>
      <c r="K21" s="4">
        <v>19.59</v>
      </c>
      <c r="L21" s="4">
        <v>1.44</v>
      </c>
      <c r="M21" s="4">
        <v>24.82</v>
      </c>
      <c r="N21" s="41">
        <v>0.0208</v>
      </c>
      <c r="O21" s="4">
        <v>45.34</v>
      </c>
      <c r="P21" s="4">
        <v>5.94</v>
      </c>
      <c r="Q21" s="4">
        <v>98.5</v>
      </c>
      <c r="R21" s="4">
        <v>6828</v>
      </c>
      <c r="S21" s="4">
        <v>10246</v>
      </c>
      <c r="T21" s="4">
        <v>99.66</v>
      </c>
      <c r="U21" s="4">
        <v>98.9</v>
      </c>
    </row>
    <row r="22" spans="1:21">
      <c r="A22" s="9">
        <v>245</v>
      </c>
      <c r="B22" s="74">
        <v>139</v>
      </c>
      <c r="C22" s="4">
        <f t="shared" ref="C22:C28" si="0">B22/A22</f>
        <v>0.56734693877551</v>
      </c>
      <c r="D22" s="4">
        <f t="shared" ref="D22:D28" si="1">ROUND(D15*C22,2)</f>
        <v>257.73</v>
      </c>
      <c r="F22" s="4">
        <f t="shared" ref="F22:F28" si="2">ROUND(F15*C22,2)</f>
        <v>8779.58</v>
      </c>
      <c r="H22" s="4">
        <f t="shared" ref="H22:H28" si="3">ROUND(H15*C22,2)</f>
        <v>21333.66</v>
      </c>
      <c r="P22" s="4">
        <f t="shared" ref="P22:P28" si="4">ROUND(P15*C22,2)</f>
        <v>14.34</v>
      </c>
    </row>
    <row r="23" spans="1:21">
      <c r="A23" s="9">
        <v>518</v>
      </c>
      <c r="B23" s="74">
        <v>273</v>
      </c>
      <c r="C23" s="4">
        <f t="shared" si="0"/>
        <v>0.527027027027027</v>
      </c>
      <c r="D23" s="4">
        <f t="shared" si="1"/>
        <v>445.79</v>
      </c>
      <c r="F23" s="4">
        <f t="shared" si="2"/>
        <v>7976.01</v>
      </c>
      <c r="H23" s="4">
        <f t="shared" si="3"/>
        <v>23338.45</v>
      </c>
      <c r="P23" s="4">
        <f t="shared" si="4"/>
        <v>5.47</v>
      </c>
    </row>
    <row r="24" spans="1:21">
      <c r="A24" s="9">
        <v>832</v>
      </c>
      <c r="B24" s="74">
        <v>715</v>
      </c>
      <c r="C24" s="4">
        <f t="shared" si="0"/>
        <v>0.859375</v>
      </c>
      <c r="D24" s="4">
        <f t="shared" si="1"/>
        <v>430.88</v>
      </c>
      <c r="F24" s="4">
        <f t="shared" si="2"/>
        <v>6978.37</v>
      </c>
      <c r="H24" s="4">
        <f t="shared" si="3"/>
        <v>43646.39</v>
      </c>
      <c r="P24" s="4">
        <f t="shared" si="4"/>
        <v>5.44</v>
      </c>
    </row>
    <row r="25" spans="1:21">
      <c r="A25" s="36">
        <v>2488</v>
      </c>
      <c r="B25" s="74">
        <v>1470</v>
      </c>
      <c r="C25" s="4">
        <f t="shared" si="0"/>
        <v>0.590836012861736</v>
      </c>
      <c r="D25" s="4">
        <f t="shared" si="1"/>
        <v>809.27</v>
      </c>
      <c r="F25" s="4">
        <f t="shared" si="2"/>
        <v>16733.14</v>
      </c>
      <c r="H25" s="4">
        <f t="shared" si="3"/>
        <v>37835.6</v>
      </c>
      <c r="P25" s="4">
        <f t="shared" si="4"/>
        <v>5.22</v>
      </c>
    </row>
    <row r="26" spans="1:21">
      <c r="A26" s="9">
        <v>1025</v>
      </c>
      <c r="B26" s="74">
        <v>846</v>
      </c>
      <c r="C26" s="4">
        <f t="shared" si="0"/>
        <v>0.825365853658537</v>
      </c>
      <c r="D26" s="4">
        <f t="shared" si="1"/>
        <v>510.33</v>
      </c>
      <c r="F26" s="4">
        <f t="shared" si="2"/>
        <v>10096.48</v>
      </c>
      <c r="H26" s="4">
        <f t="shared" si="3"/>
        <v>41900.37</v>
      </c>
      <c r="P26" s="4">
        <f t="shared" si="4"/>
        <v>8.46</v>
      </c>
    </row>
    <row r="27" spans="1:21">
      <c r="A27" s="9">
        <v>313</v>
      </c>
      <c r="B27" s="74">
        <v>300</v>
      </c>
      <c r="C27" s="4">
        <f t="shared" si="0"/>
        <v>0.958466453674121</v>
      </c>
      <c r="D27" s="4">
        <f t="shared" si="1"/>
        <v>353.24</v>
      </c>
      <c r="F27" s="4">
        <f t="shared" si="2"/>
        <v>4853.22</v>
      </c>
      <c r="H27" s="4">
        <f t="shared" si="3"/>
        <v>17283.14</v>
      </c>
      <c r="P27" s="4">
        <f t="shared" si="4"/>
        <v>7.37</v>
      </c>
    </row>
    <row r="28" spans="1:21">
      <c r="A28" s="9">
        <v>745</v>
      </c>
      <c r="B28" s="74">
        <v>601</v>
      </c>
      <c r="C28" s="4">
        <f t="shared" si="0"/>
        <v>0.806711409395973</v>
      </c>
      <c r="D28" s="4">
        <f t="shared" si="1"/>
        <v>284.68</v>
      </c>
      <c r="F28" s="4">
        <f t="shared" si="2"/>
        <v>7608.88</v>
      </c>
      <c r="H28" s="4">
        <f t="shared" si="3"/>
        <v>19794.16</v>
      </c>
      <c r="P28" s="4">
        <f t="shared" si="4"/>
        <v>4.79</v>
      </c>
    </row>
  </sheetData>
  <mergeCells count="18">
    <mergeCell ref="A3:A5"/>
    <mergeCell ref="B3:B5"/>
    <mergeCell ref="C1:C2"/>
    <mergeCell ref="C3:C4"/>
    <mergeCell ref="D1:D2"/>
    <mergeCell ref="D3:D4"/>
    <mergeCell ref="E3:E5"/>
    <mergeCell ref="H3:H5"/>
    <mergeCell ref="I1:I2"/>
    <mergeCell ref="J1:J2"/>
    <mergeCell ref="K1:K2"/>
    <mergeCell ref="L1:L2"/>
    <mergeCell ref="M1:M2"/>
    <mergeCell ref="M3:M5"/>
    <mergeCell ref="N1:N2"/>
    <mergeCell ref="A1:B2"/>
    <mergeCell ref="E1:F2"/>
    <mergeCell ref="G1:H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N15" sqref="N15:N21"/>
    </sheetView>
  </sheetViews>
  <sheetFormatPr defaultColWidth="9" defaultRowHeight="13.5"/>
  <cols>
    <col min="1" max="3" width="9" style="4"/>
    <col min="4" max="4" width="10.5044247787611" style="4" customWidth="1"/>
    <col min="5" max="5" width="9" style="4"/>
    <col min="6" max="6" width="9.3716814159292" style="4"/>
    <col min="7" max="7" width="9" style="4"/>
    <col min="8" max="8" width="10.3716814159292" style="4"/>
    <col min="9" max="11" width="9" style="4"/>
    <col min="12" max="12" width="9.24778761061947" style="4"/>
    <col min="13" max="21" width="9" style="4"/>
  </cols>
  <sheetData>
    <row r="1" s="1" customFormat="1" ht="34" customHeight="1" spans="1:21">
      <c r="A1" s="5" t="s">
        <v>214</v>
      </c>
      <c r="B1" s="6"/>
      <c r="C1" s="7" t="s">
        <v>198</v>
      </c>
      <c r="D1" s="7" t="s">
        <v>199</v>
      </c>
      <c r="E1" s="8"/>
      <c r="F1" s="8"/>
      <c r="G1" s="8"/>
      <c r="H1" s="8"/>
      <c r="I1" s="7" t="s">
        <v>201</v>
      </c>
      <c r="J1" s="7" t="s">
        <v>202</v>
      </c>
      <c r="K1" s="8" t="s">
        <v>203</v>
      </c>
      <c r="L1" s="7" t="s">
        <v>204</v>
      </c>
      <c r="M1" s="9"/>
      <c r="N1" s="9"/>
      <c r="O1" s="9"/>
      <c r="P1" s="9"/>
      <c r="Q1" s="9"/>
      <c r="R1" s="9"/>
      <c r="S1" s="9"/>
      <c r="T1" s="9"/>
      <c r="U1" s="9"/>
    </row>
    <row r="2" s="1" customFormat="1" ht="34" customHeight="1" spans="1:21">
      <c r="A2" s="10"/>
      <c r="B2" s="11"/>
      <c r="C2" s="12"/>
      <c r="D2" s="43"/>
      <c r="E2" s="13"/>
      <c r="F2" s="13"/>
      <c r="G2" s="13"/>
      <c r="H2" s="13"/>
      <c r="I2" s="12"/>
      <c r="J2" s="12"/>
      <c r="K2" s="13"/>
      <c r="L2" s="12"/>
      <c r="M2" s="9"/>
      <c r="N2" s="9"/>
      <c r="O2" s="9"/>
      <c r="P2" s="9"/>
      <c r="Q2" s="9"/>
      <c r="R2" s="9"/>
      <c r="S2" s="9"/>
      <c r="T2" s="9"/>
      <c r="U2" s="9"/>
    </row>
    <row r="3" s="2" customFormat="1" ht="28" customHeight="1" spans="1:21">
      <c r="A3" s="14" t="s">
        <v>73</v>
      </c>
      <c r="B3" s="14" t="s">
        <v>116</v>
      </c>
      <c r="C3" s="15" t="s">
        <v>215</v>
      </c>
      <c r="D3" s="44" t="s">
        <v>206</v>
      </c>
      <c r="E3" s="45"/>
      <c r="F3" s="15" t="s">
        <v>176</v>
      </c>
      <c r="G3" s="16" t="s">
        <v>177</v>
      </c>
      <c r="H3" s="15" t="s">
        <v>51</v>
      </c>
      <c r="I3" s="17" t="s">
        <v>179</v>
      </c>
      <c r="J3" s="15" t="s">
        <v>208</v>
      </c>
      <c r="K3" s="16" t="s">
        <v>151</v>
      </c>
      <c r="L3" s="15" t="s">
        <v>181</v>
      </c>
    </row>
    <row r="4" s="2" customFormat="1" ht="39" customHeight="1" spans="1:21">
      <c r="A4" s="18"/>
      <c r="B4" s="18"/>
      <c r="C4" s="19"/>
      <c r="D4" s="46"/>
      <c r="E4" s="47"/>
      <c r="F4" s="21"/>
      <c r="G4" s="20"/>
      <c r="H4" s="21" t="s">
        <v>209</v>
      </c>
      <c r="I4" s="17" t="s">
        <v>210</v>
      </c>
      <c r="J4" s="22" t="s">
        <v>157</v>
      </c>
      <c r="K4" s="48"/>
      <c r="L4" s="19" t="s">
        <v>159</v>
      </c>
    </row>
    <row r="5" s="2" customFormat="1" ht="46" customHeight="1" spans="1:21">
      <c r="A5" s="23"/>
      <c r="B5" s="23"/>
      <c r="C5" s="24" t="s">
        <v>182</v>
      </c>
      <c r="D5" s="24" t="s">
        <v>184</v>
      </c>
      <c r="E5" s="24" t="s">
        <v>185</v>
      </c>
      <c r="F5" s="19"/>
      <c r="G5" s="22" t="s">
        <v>212</v>
      </c>
      <c r="H5" s="19" t="s">
        <v>213</v>
      </c>
      <c r="I5" s="24" t="s">
        <v>187</v>
      </c>
      <c r="J5" s="22" t="s">
        <v>187</v>
      </c>
      <c r="K5" s="22"/>
      <c r="L5" s="24" t="s">
        <v>188</v>
      </c>
    </row>
    <row r="6" s="1" customFormat="1" ht="13.15" spans="1:21">
      <c r="A6" s="55" t="s">
        <v>216</v>
      </c>
      <c r="B6" s="56" t="s">
        <v>217</v>
      </c>
      <c r="C6" s="57">
        <v>148</v>
      </c>
      <c r="D6" s="57">
        <v>153</v>
      </c>
      <c r="E6" s="58">
        <v>4469</v>
      </c>
      <c r="F6" s="59">
        <v>46.37</v>
      </c>
      <c r="G6" s="58">
        <v>2121</v>
      </c>
      <c r="H6" s="60">
        <v>98.12</v>
      </c>
      <c r="I6" s="57">
        <v>3882</v>
      </c>
      <c r="J6" s="61">
        <v>1.42</v>
      </c>
      <c r="K6" s="57">
        <v>4481942</v>
      </c>
      <c r="L6" s="57">
        <v>10482439</v>
      </c>
      <c r="M6" s="31">
        <v>1736</v>
      </c>
      <c r="N6" s="9">
        <v>246</v>
      </c>
      <c r="O6" s="9"/>
      <c r="P6" s="9"/>
      <c r="Q6" s="9"/>
      <c r="R6" s="9"/>
      <c r="S6" s="9"/>
      <c r="T6" s="9"/>
      <c r="U6" s="9"/>
    </row>
    <row r="7" s="1" customFormat="1" ht="13.15" spans="1:21">
      <c r="A7" s="55" t="s">
        <v>218</v>
      </c>
      <c r="B7" s="56" t="s">
        <v>219</v>
      </c>
      <c r="C7" s="57">
        <v>283</v>
      </c>
      <c r="D7" s="57">
        <v>406</v>
      </c>
      <c r="E7" s="58">
        <v>5789</v>
      </c>
      <c r="F7" s="59">
        <v>45.65</v>
      </c>
      <c r="G7" s="58">
        <v>402</v>
      </c>
      <c r="H7" s="60">
        <v>100</v>
      </c>
      <c r="I7" s="57">
        <v>7034</v>
      </c>
      <c r="J7" s="61">
        <v>0.41</v>
      </c>
      <c r="K7" s="57">
        <v>8809611</v>
      </c>
      <c r="L7" s="57">
        <v>25840733</v>
      </c>
      <c r="M7" s="31">
        <v>1701</v>
      </c>
      <c r="N7" s="9">
        <v>528</v>
      </c>
      <c r="O7" s="9"/>
      <c r="P7" s="9"/>
      <c r="Q7" s="9"/>
      <c r="R7" s="9"/>
      <c r="S7" s="9"/>
      <c r="T7" s="9"/>
      <c r="U7" s="9"/>
    </row>
    <row r="8" s="1" customFormat="1" ht="13.15" spans="1:21">
      <c r="A8" s="55" t="s">
        <v>220</v>
      </c>
      <c r="B8" s="56" t="s">
        <v>221</v>
      </c>
      <c r="C8" s="57">
        <v>723</v>
      </c>
      <c r="D8" s="57">
        <v>354</v>
      </c>
      <c r="E8" s="58">
        <v>5426</v>
      </c>
      <c r="F8" s="59">
        <v>43.09</v>
      </c>
      <c r="G8" s="58">
        <v>12635</v>
      </c>
      <c r="H8" s="60">
        <v>96.82</v>
      </c>
      <c r="I8" s="57">
        <v>11324</v>
      </c>
      <c r="J8" s="61">
        <v>5.63</v>
      </c>
      <c r="K8" s="57">
        <v>7498470</v>
      </c>
      <c r="L8" s="57">
        <v>45494113</v>
      </c>
      <c r="M8" s="31">
        <v>12255</v>
      </c>
      <c r="N8" s="9">
        <v>842</v>
      </c>
      <c r="O8" s="9"/>
      <c r="P8" s="9"/>
      <c r="Q8" s="9"/>
      <c r="R8" s="9"/>
      <c r="S8" s="9"/>
      <c r="T8" s="9"/>
      <c r="U8" s="9"/>
    </row>
    <row r="9" s="3" customFormat="1" ht="13.1" spans="1:21">
      <c r="A9" s="62" t="s">
        <v>222</v>
      </c>
      <c r="B9" s="63" t="s">
        <v>223</v>
      </c>
      <c r="C9" s="57">
        <v>1493</v>
      </c>
      <c r="D9" s="64">
        <v>1242</v>
      </c>
      <c r="E9" s="65">
        <v>22463</v>
      </c>
      <c r="F9" s="66"/>
      <c r="G9" s="67"/>
      <c r="H9" s="67"/>
      <c r="I9" s="64">
        <v>43215</v>
      </c>
      <c r="J9" s="61">
        <v>0.23</v>
      </c>
      <c r="K9" s="57">
        <v>77718002</v>
      </c>
      <c r="L9" s="64">
        <v>180792515</v>
      </c>
      <c r="M9" s="31">
        <v>6341</v>
      </c>
      <c r="N9" s="36">
        <v>2489</v>
      </c>
      <c r="O9" s="36"/>
      <c r="P9" s="36"/>
      <c r="Q9" s="36"/>
      <c r="R9" s="36"/>
      <c r="S9" s="36"/>
      <c r="T9" s="36"/>
      <c r="U9" s="36"/>
    </row>
    <row r="10" s="1" customFormat="1" ht="13.15" spans="1:21">
      <c r="A10" s="55" t="s">
        <v>224</v>
      </c>
      <c r="B10" s="56" t="s">
        <v>225</v>
      </c>
      <c r="C10" s="57">
        <v>846</v>
      </c>
      <c r="D10" s="57">
        <v>762</v>
      </c>
      <c r="E10" s="58">
        <v>10465</v>
      </c>
      <c r="F10" s="59">
        <v>43.11</v>
      </c>
      <c r="G10" s="58">
        <v>2897</v>
      </c>
      <c r="H10" s="67"/>
      <c r="I10" s="57">
        <v>14136</v>
      </c>
      <c r="J10" s="61">
        <v>3.32</v>
      </c>
      <c r="K10" s="57">
        <v>13682971</v>
      </c>
      <c r="L10" s="57">
        <v>59754345</v>
      </c>
      <c r="M10" s="31">
        <v>11293</v>
      </c>
      <c r="N10" s="9">
        <v>1034</v>
      </c>
      <c r="O10" s="9"/>
      <c r="P10" s="9"/>
      <c r="Q10" s="9"/>
      <c r="R10" s="9"/>
      <c r="S10" s="9"/>
      <c r="T10" s="9"/>
      <c r="U10" s="9"/>
    </row>
    <row r="11" s="1" customFormat="1" ht="13.15" spans="1:21">
      <c r="A11" s="55" t="s">
        <v>226</v>
      </c>
      <c r="B11" s="56" t="s">
        <v>227</v>
      </c>
      <c r="C11" s="57">
        <v>300</v>
      </c>
      <c r="D11" s="57">
        <v>147</v>
      </c>
      <c r="E11" s="58">
        <v>2439</v>
      </c>
      <c r="F11" s="59">
        <v>41.2</v>
      </c>
      <c r="G11" s="58">
        <v>5597</v>
      </c>
      <c r="H11" s="60">
        <v>97.1</v>
      </c>
      <c r="I11" s="57">
        <v>1844</v>
      </c>
      <c r="J11" s="61">
        <v>13.02</v>
      </c>
      <c r="K11" s="57">
        <v>1722152</v>
      </c>
      <c r="L11" s="57">
        <v>5924647</v>
      </c>
      <c r="M11" s="31">
        <v>7802</v>
      </c>
      <c r="N11" s="9">
        <v>313</v>
      </c>
      <c r="O11" s="9"/>
      <c r="P11" s="9"/>
      <c r="Q11" s="9"/>
      <c r="R11" s="9"/>
      <c r="S11" s="9"/>
      <c r="T11" s="9"/>
      <c r="U11" s="9"/>
    </row>
    <row r="12" s="1" customFormat="1" ht="13.15" spans="1:21">
      <c r="A12" s="55" t="s">
        <v>228</v>
      </c>
      <c r="B12" s="56" t="s">
        <v>229</v>
      </c>
      <c r="C12" s="57">
        <v>604</v>
      </c>
      <c r="D12" s="57">
        <v>444</v>
      </c>
      <c r="E12" s="58">
        <v>4439</v>
      </c>
      <c r="F12" s="59">
        <v>45.42</v>
      </c>
      <c r="G12" s="58">
        <v>9267</v>
      </c>
      <c r="H12" s="60">
        <v>98.22</v>
      </c>
      <c r="I12" s="57">
        <v>7826</v>
      </c>
      <c r="J12" s="61">
        <v>6.56</v>
      </c>
      <c r="K12" s="57">
        <v>7375978</v>
      </c>
      <c r="L12" s="57">
        <v>19097192</v>
      </c>
      <c r="M12" s="31">
        <v>13739</v>
      </c>
      <c r="N12" s="9">
        <v>745</v>
      </c>
      <c r="O12" s="9"/>
      <c r="P12" s="9"/>
      <c r="Q12" s="9"/>
      <c r="R12" s="9"/>
      <c r="S12" s="9"/>
      <c r="T12" s="9"/>
      <c r="U12" s="9"/>
    </row>
    <row r="14" ht="54" spans="1:21">
      <c r="A14" s="39"/>
      <c r="B14" s="39" t="s">
        <v>61</v>
      </c>
      <c r="C14" s="39" t="s">
        <v>52</v>
      </c>
      <c r="D14" s="39" t="s">
        <v>8</v>
      </c>
      <c r="E14" s="39" t="s">
        <v>10</v>
      </c>
      <c r="F14" s="39" t="s">
        <v>11</v>
      </c>
      <c r="G14" s="39" t="s">
        <v>12</v>
      </c>
      <c r="H14" s="39" t="s">
        <v>13</v>
      </c>
      <c r="I14" s="39" t="s">
        <v>14</v>
      </c>
      <c r="J14" s="39" t="s">
        <v>15</v>
      </c>
      <c r="K14" s="39" t="s">
        <v>16</v>
      </c>
      <c r="L14" s="39" t="s">
        <v>17</v>
      </c>
      <c r="M14" s="39" t="s">
        <v>18</v>
      </c>
      <c r="N14" s="39" t="s">
        <v>19</v>
      </c>
      <c r="O14" s="39" t="s">
        <v>20</v>
      </c>
      <c r="P14" s="39" t="s">
        <v>21</v>
      </c>
      <c r="Q14" s="39" t="s">
        <v>22</v>
      </c>
      <c r="R14" s="39" t="s">
        <v>23</v>
      </c>
      <c r="S14" s="39" t="s">
        <v>24</v>
      </c>
      <c r="T14" s="39" t="s">
        <v>25</v>
      </c>
      <c r="U14" s="39" t="s">
        <v>26</v>
      </c>
    </row>
    <row r="15" spans="1:21">
      <c r="A15" s="4" t="s">
        <v>62</v>
      </c>
      <c r="B15" s="4">
        <v>3882</v>
      </c>
      <c r="C15" s="4">
        <v>246</v>
      </c>
      <c r="D15" s="4">
        <v>257.73</v>
      </c>
      <c r="E15" s="4">
        <v>2.24</v>
      </c>
      <c r="F15" s="4">
        <v>8779.58</v>
      </c>
      <c r="G15" s="4">
        <v>2161.8</v>
      </c>
      <c r="H15" s="4">
        <v>21333.66</v>
      </c>
      <c r="I15" s="4">
        <v>98.58</v>
      </c>
      <c r="J15" s="4">
        <v>36.67</v>
      </c>
      <c r="K15" s="4">
        <v>20.68</v>
      </c>
      <c r="L15" s="4">
        <v>0.24</v>
      </c>
      <c r="M15" s="4">
        <v>26.98</v>
      </c>
      <c r="N15" s="41">
        <v>0.0735</v>
      </c>
      <c r="O15" s="4">
        <v>46.37</v>
      </c>
      <c r="P15" s="4">
        <v>14.34</v>
      </c>
      <c r="Q15" s="4">
        <v>98.12</v>
      </c>
      <c r="R15" s="4">
        <v>3794</v>
      </c>
      <c r="S15" s="4">
        <v>2121</v>
      </c>
      <c r="T15" s="4">
        <v>97.83</v>
      </c>
      <c r="U15" s="4">
        <v>91.02</v>
      </c>
    </row>
    <row r="16" spans="1:21">
      <c r="A16" s="4" t="s">
        <v>63</v>
      </c>
      <c r="B16" s="4">
        <v>7034</v>
      </c>
      <c r="C16" s="4">
        <v>528</v>
      </c>
      <c r="D16" s="4">
        <v>445.79</v>
      </c>
      <c r="E16" s="4">
        <v>4.14</v>
      </c>
      <c r="F16" s="4">
        <v>7976.01</v>
      </c>
      <c r="G16" s="4">
        <v>3459.66</v>
      </c>
      <c r="H16" s="4">
        <v>23338.45</v>
      </c>
      <c r="I16" s="4">
        <v>99.59</v>
      </c>
      <c r="J16" s="4">
        <v>34.45</v>
      </c>
      <c r="K16" s="4">
        <v>23.8</v>
      </c>
      <c r="L16" s="4">
        <v>0.09</v>
      </c>
      <c r="M16" s="4">
        <v>38.74</v>
      </c>
      <c r="N16" s="41">
        <v>0.0295</v>
      </c>
      <c r="O16" s="4">
        <v>45.65</v>
      </c>
      <c r="P16" s="4">
        <v>5.47</v>
      </c>
      <c r="Q16" s="4">
        <v>100</v>
      </c>
      <c r="R16" s="4">
        <v>25322</v>
      </c>
      <c r="S16" s="4">
        <v>402</v>
      </c>
      <c r="T16" s="4">
        <v>98.29</v>
      </c>
      <c r="U16" s="4">
        <v>96.32</v>
      </c>
    </row>
    <row r="17" spans="1:21">
      <c r="A17" s="4" t="s">
        <v>64</v>
      </c>
      <c r="B17" s="4">
        <v>11324</v>
      </c>
      <c r="C17" s="4">
        <v>842</v>
      </c>
      <c r="D17" s="4">
        <v>430.88</v>
      </c>
      <c r="E17" s="4">
        <v>0.92</v>
      </c>
      <c r="F17" s="4">
        <v>6978.37</v>
      </c>
      <c r="G17" s="4">
        <v>8330.27</v>
      </c>
      <c r="H17" s="4">
        <v>43646.39</v>
      </c>
      <c r="I17" s="4">
        <v>94.37</v>
      </c>
      <c r="J17" s="4">
        <v>19.46</v>
      </c>
      <c r="K17" s="4">
        <v>7.55</v>
      </c>
      <c r="L17" s="4">
        <v>0.02</v>
      </c>
      <c r="M17" s="4">
        <v>70.5</v>
      </c>
      <c r="N17" s="41">
        <v>0.0397</v>
      </c>
      <c r="O17" s="4">
        <v>43.09</v>
      </c>
      <c r="P17" s="4">
        <v>5.44</v>
      </c>
      <c r="Q17" s="4">
        <v>96.82</v>
      </c>
      <c r="R17" s="4">
        <v>5217</v>
      </c>
      <c r="S17" s="4">
        <v>12635</v>
      </c>
      <c r="T17" s="4">
        <v>98.91</v>
      </c>
      <c r="U17" s="4">
        <v>98.05</v>
      </c>
    </row>
    <row r="18" spans="1:21">
      <c r="A18" s="4" t="s">
        <v>57</v>
      </c>
      <c r="B18" s="4">
        <v>43215</v>
      </c>
      <c r="C18" s="4">
        <v>2489</v>
      </c>
      <c r="D18" s="4">
        <v>809.27</v>
      </c>
      <c r="E18" s="4">
        <v>6.82</v>
      </c>
      <c r="F18" s="4">
        <v>16733.14</v>
      </c>
      <c r="G18" s="4">
        <v>9550</v>
      </c>
      <c r="H18" s="4">
        <v>37835.6</v>
      </c>
      <c r="I18" s="4">
        <v>99.77</v>
      </c>
      <c r="J18" s="4">
        <v>57.9</v>
      </c>
      <c r="K18" s="4">
        <v>34.2</v>
      </c>
      <c r="L18" s="4">
        <v>0.047</v>
      </c>
      <c r="M18" s="4">
        <v>0.12</v>
      </c>
      <c r="N18" s="41">
        <v>0.1999</v>
      </c>
      <c r="O18" s="4">
        <v>37.7</v>
      </c>
      <c r="P18" s="4">
        <v>5.22</v>
      </c>
      <c r="Q18" s="4">
        <v>96.89</v>
      </c>
      <c r="R18" s="4">
        <v>32100</v>
      </c>
      <c r="S18" s="4">
        <v>5800</v>
      </c>
      <c r="T18" s="4">
        <v>99.5</v>
      </c>
      <c r="U18" s="4">
        <v>96.27</v>
      </c>
    </row>
    <row r="19" spans="1:21">
      <c r="A19" s="4" t="s">
        <v>65</v>
      </c>
      <c r="B19" s="4">
        <v>14136</v>
      </c>
      <c r="C19" s="4">
        <v>1034</v>
      </c>
      <c r="D19" s="4">
        <v>510.33</v>
      </c>
      <c r="E19" s="4">
        <v>1.25</v>
      </c>
      <c r="F19" s="4">
        <v>10096.48</v>
      </c>
      <c r="G19" s="4">
        <v>10953</v>
      </c>
      <c r="H19" s="4">
        <v>41900.37</v>
      </c>
      <c r="I19" s="4">
        <v>96.68</v>
      </c>
      <c r="J19" s="4">
        <v>65.92</v>
      </c>
      <c r="K19" s="4">
        <v>27.46</v>
      </c>
      <c r="L19" s="4">
        <v>0.25</v>
      </c>
      <c r="M19" s="4">
        <v>4.66</v>
      </c>
      <c r="N19" s="41">
        <v>0.0036</v>
      </c>
      <c r="O19" s="4">
        <v>43.11</v>
      </c>
      <c r="P19" s="4">
        <v>8.46</v>
      </c>
      <c r="Q19" s="4">
        <v>98.39</v>
      </c>
      <c r="R19" s="4">
        <v>6513</v>
      </c>
      <c r="S19" s="4">
        <v>2897</v>
      </c>
      <c r="T19" s="4">
        <v>98.92</v>
      </c>
      <c r="U19" s="4">
        <v>97.45</v>
      </c>
    </row>
    <row r="20" spans="1:21">
      <c r="A20" s="4" t="s">
        <v>59</v>
      </c>
      <c r="B20" s="4">
        <v>1844</v>
      </c>
      <c r="C20" s="4">
        <v>313</v>
      </c>
      <c r="D20" s="4">
        <v>353.24</v>
      </c>
      <c r="E20" s="4">
        <v>0.24</v>
      </c>
      <c r="F20" s="4">
        <v>4853.22</v>
      </c>
      <c r="G20" s="4">
        <v>1078.7</v>
      </c>
      <c r="H20" s="4">
        <v>17283.14</v>
      </c>
      <c r="I20" s="4">
        <v>86.98</v>
      </c>
      <c r="J20" s="4">
        <v>41.18</v>
      </c>
      <c r="K20" s="4">
        <v>13.5</v>
      </c>
      <c r="L20" s="4">
        <v>5.83</v>
      </c>
      <c r="M20" s="4">
        <v>38.39</v>
      </c>
      <c r="N20" s="41">
        <v>0.0212</v>
      </c>
      <c r="O20" s="4">
        <v>41.2</v>
      </c>
      <c r="P20" s="4">
        <v>7.37</v>
      </c>
      <c r="Q20" s="4">
        <v>97.1</v>
      </c>
      <c r="R20" s="4">
        <v>1747</v>
      </c>
      <c r="S20" s="4">
        <v>5597</v>
      </c>
      <c r="T20" s="4">
        <v>98.98</v>
      </c>
      <c r="U20" s="4">
        <v>98.94</v>
      </c>
    </row>
    <row r="21" spans="1:21">
      <c r="A21" s="4" t="s">
        <v>66</v>
      </c>
      <c r="B21" s="4">
        <v>7826</v>
      </c>
      <c r="C21" s="4">
        <v>745</v>
      </c>
      <c r="D21" s="4">
        <v>284.68</v>
      </c>
      <c r="E21" s="4">
        <v>0.57</v>
      </c>
      <c r="F21" s="4">
        <v>7608.88</v>
      </c>
      <c r="G21" s="4">
        <v>1475.4</v>
      </c>
      <c r="H21" s="4">
        <v>19794.16</v>
      </c>
      <c r="I21" s="4">
        <v>93.44</v>
      </c>
      <c r="J21" s="4">
        <v>49.78</v>
      </c>
      <c r="K21" s="4">
        <v>19.63</v>
      </c>
      <c r="L21" s="4">
        <v>1.39</v>
      </c>
      <c r="M21" s="4">
        <v>24.92</v>
      </c>
      <c r="N21" s="41">
        <v>0.0194</v>
      </c>
      <c r="O21" s="4">
        <v>45.42</v>
      </c>
      <c r="P21" s="4">
        <v>4.79</v>
      </c>
      <c r="Q21" s="4">
        <v>98.22</v>
      </c>
      <c r="R21" s="4">
        <v>7137</v>
      </c>
      <c r="S21" s="4">
        <v>9267</v>
      </c>
      <c r="T21" s="4">
        <v>99.67</v>
      </c>
      <c r="U21" s="4">
        <v>99.02</v>
      </c>
    </row>
    <row r="22" spans="1:21">
      <c r="A22" s="9">
        <v>246</v>
      </c>
      <c r="B22" s="57">
        <v>148</v>
      </c>
      <c r="C22" s="4">
        <f t="shared" ref="C22:C28" si="0">B22/A22</f>
        <v>0.601626016260163</v>
      </c>
      <c r="D22" s="4">
        <f t="shared" ref="D22:D28" si="1">ROUND(D15*C22,2)</f>
        <v>155.06</v>
      </c>
      <c r="F22" s="4">
        <f t="shared" ref="F22:F28" si="2">ROUND(F15*C22,2)</f>
        <v>5282.02</v>
      </c>
      <c r="H22" s="4">
        <f t="shared" ref="H22:H28" si="3">ROUND(H15*C22,2)</f>
        <v>12834.88</v>
      </c>
      <c r="P22" s="4">
        <f t="shared" ref="P22:P28" si="4">ROUND(P15*C22,2)</f>
        <v>8.63</v>
      </c>
    </row>
    <row r="23" spans="1:21">
      <c r="A23" s="9">
        <v>528</v>
      </c>
      <c r="B23" s="57">
        <v>283</v>
      </c>
      <c r="C23" s="4">
        <f t="shared" si="0"/>
        <v>0.535984848484849</v>
      </c>
      <c r="D23" s="4">
        <f t="shared" si="1"/>
        <v>238.94</v>
      </c>
      <c r="F23" s="4">
        <f t="shared" si="2"/>
        <v>4275.02</v>
      </c>
      <c r="H23" s="4">
        <f t="shared" si="3"/>
        <v>12509.06</v>
      </c>
      <c r="P23" s="4">
        <f t="shared" si="4"/>
        <v>2.93</v>
      </c>
    </row>
    <row r="24" spans="1:21">
      <c r="A24" s="9">
        <v>842</v>
      </c>
      <c r="B24" s="57">
        <v>723</v>
      </c>
      <c r="C24" s="4">
        <f t="shared" si="0"/>
        <v>0.858669833729216</v>
      </c>
      <c r="D24" s="4">
        <f t="shared" si="1"/>
        <v>369.98</v>
      </c>
      <c r="F24" s="4">
        <f t="shared" si="2"/>
        <v>5992.12</v>
      </c>
      <c r="H24" s="4">
        <f t="shared" si="3"/>
        <v>37477.84</v>
      </c>
      <c r="P24" s="4">
        <f t="shared" si="4"/>
        <v>4.67</v>
      </c>
    </row>
    <row r="25" spans="1:21">
      <c r="A25" s="36">
        <v>2489</v>
      </c>
      <c r="B25" s="57">
        <v>1493</v>
      </c>
      <c r="C25" s="4">
        <f t="shared" si="0"/>
        <v>0.59983929288871</v>
      </c>
      <c r="D25" s="4">
        <f t="shared" si="1"/>
        <v>485.43</v>
      </c>
      <c r="F25" s="4">
        <f t="shared" si="2"/>
        <v>10037.19</v>
      </c>
      <c r="H25" s="4">
        <f t="shared" si="3"/>
        <v>22695.28</v>
      </c>
      <c r="P25" s="4">
        <f t="shared" si="4"/>
        <v>3.13</v>
      </c>
    </row>
    <row r="26" spans="1:21">
      <c r="A26" s="9">
        <v>1034</v>
      </c>
      <c r="B26" s="57">
        <v>846</v>
      </c>
      <c r="C26" s="4">
        <f t="shared" si="0"/>
        <v>0.818181818181818</v>
      </c>
      <c r="D26" s="4">
        <f t="shared" si="1"/>
        <v>417.54</v>
      </c>
      <c r="F26" s="4">
        <f t="shared" si="2"/>
        <v>8260.76</v>
      </c>
      <c r="H26" s="4">
        <f t="shared" si="3"/>
        <v>34282.12</v>
      </c>
      <c r="P26" s="4">
        <f t="shared" si="4"/>
        <v>6.92</v>
      </c>
    </row>
    <row r="27" spans="1:21">
      <c r="A27" s="9">
        <v>313</v>
      </c>
      <c r="B27" s="57">
        <v>300</v>
      </c>
      <c r="C27" s="4">
        <f t="shared" si="0"/>
        <v>0.958466453674121</v>
      </c>
      <c r="D27" s="4">
        <f t="shared" si="1"/>
        <v>338.57</v>
      </c>
      <c r="F27" s="4">
        <f t="shared" si="2"/>
        <v>4651.65</v>
      </c>
      <c r="H27" s="4">
        <f t="shared" si="3"/>
        <v>16565.31</v>
      </c>
      <c r="P27" s="4">
        <f t="shared" si="4"/>
        <v>7.06</v>
      </c>
    </row>
    <row r="28" spans="1:21">
      <c r="A28" s="9">
        <v>745</v>
      </c>
      <c r="B28" s="57">
        <v>604</v>
      </c>
      <c r="C28" s="4">
        <f t="shared" si="0"/>
        <v>0.810738255033557</v>
      </c>
      <c r="D28" s="4">
        <f t="shared" si="1"/>
        <v>230.8</v>
      </c>
      <c r="F28" s="4">
        <f t="shared" si="2"/>
        <v>6168.81</v>
      </c>
      <c r="H28" s="4">
        <f t="shared" si="3"/>
        <v>16047.88</v>
      </c>
      <c r="P28" s="4">
        <f t="shared" si="4"/>
        <v>3.88</v>
      </c>
    </row>
  </sheetData>
  <mergeCells count="16">
    <mergeCell ref="A3:A5"/>
    <mergeCell ref="B3:B5"/>
    <mergeCell ref="C1:C2"/>
    <mergeCell ref="C3:C4"/>
    <mergeCell ref="D1:D2"/>
    <mergeCell ref="D3:D4"/>
    <mergeCell ref="F3:F5"/>
    <mergeCell ref="G1:G2"/>
    <mergeCell ref="H1:H2"/>
    <mergeCell ref="I1:I2"/>
    <mergeCell ref="J1:J2"/>
    <mergeCell ref="K1:K2"/>
    <mergeCell ref="K3:K5"/>
    <mergeCell ref="L1:L2"/>
    <mergeCell ref="A1:B2"/>
    <mergeCell ref="E1:F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opLeftCell="A3" workbookViewId="0">
      <selection activeCell="N15" sqref="N15:N21"/>
    </sheetView>
  </sheetViews>
  <sheetFormatPr defaultColWidth="9" defaultRowHeight="13.5"/>
  <cols>
    <col min="1" max="1" width="9" style="4"/>
    <col min="2" max="2" width="13.3716814159292" style="4" customWidth="1"/>
    <col min="3" max="5" width="9" style="4"/>
    <col min="6" max="6" width="9.3716814159292" style="4"/>
    <col min="7" max="7" width="9" style="4"/>
    <col min="8" max="8" width="10.3716814159292" style="4"/>
    <col min="9" max="10" width="9" style="4"/>
    <col min="11" max="11" width="9.3716814159292" style="4"/>
    <col min="12" max="12" width="10.3716814159292" style="4"/>
    <col min="13" max="21" width="9" style="4"/>
  </cols>
  <sheetData>
    <row r="1" s="1" customFormat="1" ht="34" customHeight="1" spans="1:21">
      <c r="A1" s="5" t="s">
        <v>230</v>
      </c>
      <c r="B1" s="6"/>
      <c r="C1" s="7" t="s">
        <v>198</v>
      </c>
      <c r="D1" s="7" t="s">
        <v>199</v>
      </c>
      <c r="E1" s="8"/>
      <c r="F1" s="8"/>
      <c r="G1" s="8"/>
      <c r="H1" s="8"/>
      <c r="I1" s="7" t="s">
        <v>201</v>
      </c>
      <c r="J1" s="7" t="s">
        <v>202</v>
      </c>
      <c r="K1" s="8" t="s">
        <v>203</v>
      </c>
      <c r="L1" s="7" t="s">
        <v>204</v>
      </c>
      <c r="M1" s="9"/>
      <c r="N1" s="9"/>
      <c r="O1" s="9"/>
      <c r="P1" s="9"/>
      <c r="Q1" s="9"/>
      <c r="R1" s="9"/>
      <c r="S1" s="9"/>
      <c r="T1" s="9"/>
      <c r="U1" s="9"/>
    </row>
    <row r="2" s="1" customFormat="1" ht="34" customHeight="1" spans="1:21">
      <c r="A2" s="10"/>
      <c r="B2" s="11"/>
      <c r="C2" s="12"/>
      <c r="D2" s="43"/>
      <c r="E2" s="13"/>
      <c r="F2" s="13"/>
      <c r="G2" s="13"/>
      <c r="H2" s="13"/>
      <c r="I2" s="12"/>
      <c r="J2" s="12"/>
      <c r="K2" s="13"/>
      <c r="L2" s="12"/>
      <c r="M2" s="9"/>
      <c r="N2" s="9"/>
      <c r="O2" s="9"/>
      <c r="P2" s="9"/>
      <c r="Q2" s="9"/>
      <c r="R2" s="9"/>
      <c r="S2" s="9"/>
      <c r="T2" s="9"/>
      <c r="U2" s="9"/>
    </row>
    <row r="3" s="2" customFormat="1" ht="28" customHeight="1" spans="1:21">
      <c r="A3" s="14" t="s">
        <v>73</v>
      </c>
      <c r="B3" s="14" t="s">
        <v>116</v>
      </c>
      <c r="C3" s="15" t="s">
        <v>215</v>
      </c>
      <c r="D3" s="44" t="s">
        <v>206</v>
      </c>
      <c r="E3" s="45"/>
      <c r="F3" s="15" t="s">
        <v>176</v>
      </c>
      <c r="G3" s="16" t="s">
        <v>177</v>
      </c>
      <c r="H3" s="15" t="s">
        <v>51</v>
      </c>
      <c r="I3" s="17" t="s">
        <v>179</v>
      </c>
      <c r="J3" s="15" t="s">
        <v>208</v>
      </c>
      <c r="K3" s="16" t="s">
        <v>151</v>
      </c>
      <c r="L3" s="15" t="s">
        <v>181</v>
      </c>
    </row>
    <row r="4" s="2" customFormat="1" ht="39" customHeight="1" spans="1:21">
      <c r="A4" s="18"/>
      <c r="B4" s="18"/>
      <c r="C4" s="19"/>
      <c r="D4" s="46"/>
      <c r="E4" s="47"/>
      <c r="F4" s="21"/>
      <c r="G4" s="20"/>
      <c r="H4" s="21" t="s">
        <v>209</v>
      </c>
      <c r="I4" s="17" t="s">
        <v>210</v>
      </c>
      <c r="J4" s="22" t="s">
        <v>157</v>
      </c>
      <c r="K4" s="48"/>
      <c r="L4" s="19" t="s">
        <v>159</v>
      </c>
    </row>
    <row r="5" s="2" customFormat="1" ht="46" customHeight="1" spans="1:21">
      <c r="A5" s="23"/>
      <c r="B5" s="23"/>
      <c r="C5" s="24" t="s">
        <v>182</v>
      </c>
      <c r="D5" s="24" t="s">
        <v>184</v>
      </c>
      <c r="E5" s="24" t="s">
        <v>185</v>
      </c>
      <c r="F5" s="19"/>
      <c r="G5" s="22" t="s">
        <v>212</v>
      </c>
      <c r="H5" s="19" t="s">
        <v>213</v>
      </c>
      <c r="I5" s="24" t="s">
        <v>187</v>
      </c>
      <c r="J5" s="22" t="s">
        <v>187</v>
      </c>
      <c r="K5" s="22"/>
      <c r="L5" s="24" t="s">
        <v>188</v>
      </c>
    </row>
    <row r="6" s="1" customFormat="1" ht="13.85" spans="1:21">
      <c r="A6" s="49" t="s">
        <v>231</v>
      </c>
      <c r="B6" s="50" t="s">
        <v>232</v>
      </c>
      <c r="C6" s="30">
        <v>155</v>
      </c>
      <c r="D6" s="51">
        <v>153</v>
      </c>
      <c r="E6" s="29">
        <v>4506</v>
      </c>
      <c r="F6" s="29">
        <v>47.01</v>
      </c>
      <c r="G6" s="29">
        <v>2062</v>
      </c>
      <c r="H6" s="29">
        <v>99.2</v>
      </c>
      <c r="I6" s="29">
        <v>4045</v>
      </c>
      <c r="J6" s="29">
        <v>1.5</v>
      </c>
      <c r="K6" s="29">
        <v>4374063</v>
      </c>
      <c r="L6" s="29">
        <v>10446739</v>
      </c>
      <c r="M6" s="31">
        <v>1736</v>
      </c>
      <c r="N6" s="9">
        <v>247</v>
      </c>
      <c r="O6" s="9"/>
      <c r="P6" s="9"/>
      <c r="Q6" s="9"/>
      <c r="R6" s="9"/>
      <c r="S6" s="9"/>
      <c r="T6" s="9"/>
      <c r="U6" s="9"/>
    </row>
    <row r="7" s="1" customFormat="1" ht="13.85" spans="1:21">
      <c r="A7" s="49" t="s">
        <v>233</v>
      </c>
      <c r="B7" s="50" t="s">
        <v>234</v>
      </c>
      <c r="C7" s="30">
        <v>293</v>
      </c>
      <c r="D7" s="29">
        <v>465</v>
      </c>
      <c r="E7" s="29">
        <v>6093</v>
      </c>
      <c r="F7" s="29">
        <v>44.11</v>
      </c>
      <c r="G7" s="29">
        <v>339</v>
      </c>
      <c r="H7" s="29">
        <v>100</v>
      </c>
      <c r="I7" s="29">
        <v>7803</v>
      </c>
      <c r="J7" s="29">
        <v>0.38</v>
      </c>
      <c r="K7" s="29">
        <v>8838107</v>
      </c>
      <c r="L7" s="29">
        <v>26653620</v>
      </c>
      <c r="M7" s="31">
        <v>1701</v>
      </c>
      <c r="N7" s="9">
        <v>530</v>
      </c>
      <c r="O7" s="9"/>
      <c r="P7" s="9"/>
      <c r="Q7" s="9"/>
      <c r="R7" s="9"/>
      <c r="S7" s="9"/>
      <c r="T7" s="9"/>
      <c r="U7" s="9"/>
    </row>
    <row r="8" s="1" customFormat="1" ht="13.85" spans="1:21">
      <c r="A8" s="49" t="s">
        <v>235</v>
      </c>
      <c r="B8" s="50" t="s">
        <v>236</v>
      </c>
      <c r="C8" s="30">
        <v>729</v>
      </c>
      <c r="D8" s="29">
        <v>410</v>
      </c>
      <c r="E8" s="29">
        <v>5930</v>
      </c>
      <c r="F8" s="29">
        <v>43.1</v>
      </c>
      <c r="G8" s="29">
        <v>11231</v>
      </c>
      <c r="H8" s="29">
        <v>97.98</v>
      </c>
      <c r="I8" s="29">
        <v>12308</v>
      </c>
      <c r="J8" s="29">
        <v>5.55</v>
      </c>
      <c r="K8" s="29">
        <v>6985234</v>
      </c>
      <c r="L8" s="29">
        <v>46795215</v>
      </c>
      <c r="M8" s="31">
        <v>12255</v>
      </c>
      <c r="N8" s="9">
        <v>845</v>
      </c>
      <c r="O8" s="9"/>
      <c r="P8" s="9"/>
      <c r="Q8" s="9"/>
      <c r="R8" s="9"/>
      <c r="S8" s="9"/>
      <c r="T8" s="9"/>
      <c r="U8" s="9"/>
    </row>
    <row r="9" s="3" customFormat="1" ht="13.85" spans="1:21">
      <c r="A9" s="52" t="s">
        <v>237</v>
      </c>
      <c r="B9" s="53" t="s">
        <v>192</v>
      </c>
      <c r="C9" s="35">
        <v>1504</v>
      </c>
      <c r="D9" s="54">
        <v>1242</v>
      </c>
      <c r="E9" s="54">
        <v>22980</v>
      </c>
      <c r="F9" s="54">
        <v>38.1</v>
      </c>
      <c r="G9" s="54">
        <v>6500</v>
      </c>
      <c r="H9" s="28"/>
      <c r="I9" s="54">
        <v>44653</v>
      </c>
      <c r="J9" s="54">
        <v>0.22</v>
      </c>
      <c r="K9" s="54">
        <v>76081900</v>
      </c>
      <c r="L9" s="54">
        <v>164421400</v>
      </c>
      <c r="M9" s="31">
        <v>6341</v>
      </c>
      <c r="N9" s="36">
        <v>2475</v>
      </c>
      <c r="O9" s="36"/>
      <c r="P9" s="36"/>
      <c r="Q9" s="36"/>
      <c r="R9" s="36"/>
      <c r="S9" s="36"/>
      <c r="T9" s="36"/>
      <c r="U9" s="36"/>
    </row>
    <row r="10" s="1" customFormat="1" ht="13.85" spans="1:21">
      <c r="A10" s="49" t="s">
        <v>238</v>
      </c>
      <c r="B10" s="50" t="s">
        <v>239</v>
      </c>
      <c r="C10" s="30">
        <v>851</v>
      </c>
      <c r="D10" s="29">
        <v>762</v>
      </c>
      <c r="E10" s="29">
        <v>10724</v>
      </c>
      <c r="F10" s="29">
        <v>45.42</v>
      </c>
      <c r="G10" s="29">
        <v>2468</v>
      </c>
      <c r="H10" s="28"/>
      <c r="I10" s="29">
        <v>14921</v>
      </c>
      <c r="J10" s="29">
        <v>3.2</v>
      </c>
      <c r="K10" s="29">
        <v>12733096</v>
      </c>
      <c r="L10" s="29">
        <v>58917785</v>
      </c>
      <c r="M10" s="31">
        <v>11293</v>
      </c>
      <c r="N10" s="9">
        <v>1037</v>
      </c>
      <c r="O10" s="9"/>
      <c r="P10" s="9"/>
      <c r="Q10" s="9"/>
      <c r="R10" s="9"/>
      <c r="S10" s="9"/>
      <c r="T10" s="9"/>
      <c r="U10" s="9"/>
    </row>
    <row r="11" s="1" customFormat="1" ht="28" customHeight="1" spans="1:21">
      <c r="A11" s="49" t="s">
        <v>240</v>
      </c>
      <c r="B11" s="50" t="s">
        <v>241</v>
      </c>
      <c r="C11" s="30">
        <v>300</v>
      </c>
      <c r="D11" s="29">
        <v>150</v>
      </c>
      <c r="E11" s="29">
        <v>2395</v>
      </c>
      <c r="F11" s="29">
        <v>40.75</v>
      </c>
      <c r="G11" s="29">
        <v>5236</v>
      </c>
      <c r="H11" s="29">
        <v>97.1</v>
      </c>
      <c r="I11" s="29">
        <v>1910</v>
      </c>
      <c r="J11" s="29">
        <v>13.21</v>
      </c>
      <c r="K11" s="29">
        <v>1718846</v>
      </c>
      <c r="L11" s="29">
        <v>5972476</v>
      </c>
      <c r="M11" s="31">
        <v>7802</v>
      </c>
      <c r="N11" s="9">
        <v>309</v>
      </c>
      <c r="O11" s="9"/>
      <c r="P11" s="9"/>
      <c r="Q11" s="9"/>
      <c r="R11" s="9"/>
      <c r="S11" s="9"/>
      <c r="T11" s="9"/>
      <c r="U11" s="9"/>
    </row>
    <row r="12" s="1" customFormat="1" ht="13.85" spans="1:21">
      <c r="A12" s="49" t="s">
        <v>242</v>
      </c>
      <c r="B12" s="50" t="s">
        <v>243</v>
      </c>
      <c r="C12" s="30">
        <v>609</v>
      </c>
      <c r="D12" s="29">
        <v>444</v>
      </c>
      <c r="E12" s="29">
        <v>5437</v>
      </c>
      <c r="F12" s="29">
        <v>45.89</v>
      </c>
      <c r="G12" s="29">
        <v>8261</v>
      </c>
      <c r="H12" s="29">
        <v>97.32</v>
      </c>
      <c r="I12" s="29">
        <v>8431</v>
      </c>
      <c r="J12" s="29">
        <v>6.68</v>
      </c>
      <c r="K12" s="29">
        <v>6697660</v>
      </c>
      <c r="L12" s="29">
        <v>18469064</v>
      </c>
      <c r="M12" s="31">
        <v>13739</v>
      </c>
      <c r="N12" s="9">
        <v>745</v>
      </c>
      <c r="O12" s="9"/>
      <c r="P12" s="9"/>
      <c r="Q12" s="9"/>
      <c r="R12" s="9"/>
      <c r="S12" s="9"/>
      <c r="T12" s="9"/>
      <c r="U12" s="9"/>
    </row>
    <row r="14" ht="54" spans="1:21">
      <c r="A14" s="39"/>
      <c r="B14" s="39" t="s">
        <v>61</v>
      </c>
      <c r="C14" s="39" t="s">
        <v>52</v>
      </c>
      <c r="D14" s="39" t="s">
        <v>8</v>
      </c>
      <c r="E14" s="39" t="s">
        <v>10</v>
      </c>
      <c r="F14" s="39" t="s">
        <v>11</v>
      </c>
      <c r="G14" s="39" t="s">
        <v>12</v>
      </c>
      <c r="H14" s="39" t="s">
        <v>13</v>
      </c>
      <c r="I14" s="39" t="s">
        <v>14</v>
      </c>
      <c r="J14" s="39" t="s">
        <v>15</v>
      </c>
      <c r="K14" s="39" t="s">
        <v>16</v>
      </c>
      <c r="L14" s="39" t="s">
        <v>17</v>
      </c>
      <c r="M14" s="39" t="s">
        <v>18</v>
      </c>
      <c r="N14" s="39" t="s">
        <v>19</v>
      </c>
      <c r="O14" s="39" t="s">
        <v>20</v>
      </c>
      <c r="P14" s="39" t="s">
        <v>21</v>
      </c>
      <c r="Q14" s="39" t="s">
        <v>22</v>
      </c>
      <c r="R14" s="39" t="s">
        <v>23</v>
      </c>
      <c r="S14" s="39" t="s">
        <v>24</v>
      </c>
      <c r="T14" s="39" t="s">
        <v>25</v>
      </c>
      <c r="U14" s="39" t="s">
        <v>26</v>
      </c>
    </row>
    <row r="15" spans="1:21">
      <c r="A15" s="4" t="s">
        <v>62</v>
      </c>
      <c r="B15" s="4">
        <v>4045</v>
      </c>
      <c r="C15" s="4">
        <v>247</v>
      </c>
      <c r="D15" s="4">
        <v>560.3</v>
      </c>
      <c r="E15" s="4">
        <v>2.33</v>
      </c>
      <c r="F15" s="4">
        <v>17708.76</v>
      </c>
      <c r="G15" s="4">
        <v>1973.16</v>
      </c>
      <c r="H15" s="4">
        <v>42294.49</v>
      </c>
      <c r="I15" s="4">
        <v>98.5</v>
      </c>
      <c r="J15" s="4">
        <v>39.43</v>
      </c>
      <c r="K15" s="4">
        <v>20.97</v>
      </c>
      <c r="L15" s="4">
        <v>0.2</v>
      </c>
      <c r="M15" s="4">
        <v>26.62</v>
      </c>
      <c r="N15" s="41">
        <v>0.0679</v>
      </c>
      <c r="O15" s="4">
        <v>47.01</v>
      </c>
      <c r="P15" s="4">
        <v>18.24</v>
      </c>
      <c r="Q15" s="4">
        <v>99.2</v>
      </c>
      <c r="R15" s="4">
        <v>4084</v>
      </c>
      <c r="S15" s="4">
        <v>2062</v>
      </c>
      <c r="T15" s="4">
        <v>99.58</v>
      </c>
      <c r="U15" s="4">
        <v>88.28</v>
      </c>
    </row>
    <row r="16" spans="1:21">
      <c r="A16" s="4" t="s">
        <v>63</v>
      </c>
      <c r="B16" s="4">
        <v>7803</v>
      </c>
      <c r="C16" s="4">
        <v>530</v>
      </c>
      <c r="D16" s="4">
        <v>952.26</v>
      </c>
      <c r="E16" s="4">
        <v>4.59</v>
      </c>
      <c r="F16" s="4">
        <v>16675.67</v>
      </c>
      <c r="G16" s="4">
        <v>2971.08</v>
      </c>
      <c r="H16" s="4">
        <v>50289.85</v>
      </c>
      <c r="I16" s="4">
        <v>99.62</v>
      </c>
      <c r="J16" s="4">
        <v>34.24</v>
      </c>
      <c r="K16" s="4">
        <v>24.09</v>
      </c>
      <c r="L16" s="4">
        <v>0.08</v>
      </c>
      <c r="M16" s="4">
        <v>38.88</v>
      </c>
      <c r="N16" s="41">
        <v>0.0261</v>
      </c>
      <c r="O16" s="4">
        <v>44.11</v>
      </c>
      <c r="P16" s="4">
        <v>11.5</v>
      </c>
      <c r="Q16" s="4">
        <v>100</v>
      </c>
      <c r="R16" s="4">
        <v>29424</v>
      </c>
      <c r="S16" s="4">
        <v>339</v>
      </c>
      <c r="T16" s="4">
        <v>98.4</v>
      </c>
      <c r="U16" s="4">
        <v>96.24</v>
      </c>
    </row>
    <row r="17" spans="1:21">
      <c r="A17" s="4" t="s">
        <v>64</v>
      </c>
      <c r="B17" s="4">
        <v>12308</v>
      </c>
      <c r="C17" s="4">
        <v>845</v>
      </c>
      <c r="D17" s="4">
        <v>513.2</v>
      </c>
      <c r="E17" s="4">
        <v>1</v>
      </c>
      <c r="F17" s="4">
        <v>8266.55</v>
      </c>
      <c r="G17" s="4">
        <v>8820.47</v>
      </c>
      <c r="H17" s="4">
        <v>55378.96</v>
      </c>
      <c r="I17" s="4">
        <v>94.45</v>
      </c>
      <c r="J17" s="4">
        <v>19.49</v>
      </c>
      <c r="K17" s="4">
        <v>7.69</v>
      </c>
      <c r="L17" s="4">
        <v>0.01</v>
      </c>
      <c r="M17" s="4">
        <v>70.44</v>
      </c>
      <c r="N17" s="41">
        <v>0.0401</v>
      </c>
      <c r="O17" s="4">
        <v>43.1</v>
      </c>
      <c r="P17" s="4">
        <v>7.01</v>
      </c>
      <c r="Q17" s="4">
        <v>97.98</v>
      </c>
      <c r="R17" s="4">
        <v>6223</v>
      </c>
      <c r="S17" s="4">
        <v>11231</v>
      </c>
      <c r="T17" s="4">
        <v>98.87</v>
      </c>
      <c r="U17" s="4">
        <v>97.9</v>
      </c>
    </row>
    <row r="18" spans="1:21">
      <c r="A18" s="4" t="s">
        <v>57</v>
      </c>
      <c r="B18" s="4">
        <v>44653</v>
      </c>
      <c r="C18" s="4">
        <v>2475</v>
      </c>
      <c r="D18" s="4">
        <v>1441.33</v>
      </c>
      <c r="E18" s="4">
        <v>7.04</v>
      </c>
      <c r="F18" s="4">
        <v>30740.16</v>
      </c>
      <c r="G18" s="4">
        <v>9454.5</v>
      </c>
      <c r="H18" s="4">
        <v>66432.89</v>
      </c>
      <c r="I18" s="4">
        <v>99.78</v>
      </c>
      <c r="J18" s="4">
        <v>57.44</v>
      </c>
      <c r="K18" s="4">
        <v>35.11</v>
      </c>
      <c r="L18" s="4">
        <v>0.045</v>
      </c>
      <c r="M18" s="4">
        <v>0.11</v>
      </c>
      <c r="N18" s="41">
        <v>0.1735</v>
      </c>
      <c r="O18" s="4">
        <v>38.1</v>
      </c>
      <c r="P18" s="4">
        <v>9.29</v>
      </c>
      <c r="Q18" s="4">
        <v>98.04</v>
      </c>
      <c r="R18" s="4">
        <v>32300</v>
      </c>
      <c r="S18" s="4">
        <v>6500</v>
      </c>
      <c r="T18" s="4">
        <v>99.23</v>
      </c>
      <c r="U18" s="4">
        <v>94.93</v>
      </c>
    </row>
    <row r="19" spans="1:21">
      <c r="A19" s="4" t="s">
        <v>65</v>
      </c>
      <c r="B19" s="4">
        <v>14921</v>
      </c>
      <c r="C19" s="4">
        <v>1037</v>
      </c>
      <c r="D19" s="4">
        <v>618.4</v>
      </c>
      <c r="E19" s="4">
        <v>1.32</v>
      </c>
      <c r="F19" s="4">
        <v>12278.78</v>
      </c>
      <c r="G19" s="4">
        <v>11446</v>
      </c>
      <c r="H19" s="4">
        <v>56815.61</v>
      </c>
      <c r="I19" s="4">
        <v>96.8</v>
      </c>
      <c r="J19" s="4">
        <v>65.36</v>
      </c>
      <c r="K19" s="4">
        <v>27.76</v>
      </c>
      <c r="L19" s="4">
        <v>0.21</v>
      </c>
      <c r="M19" s="4">
        <v>4.61</v>
      </c>
      <c r="N19" s="41">
        <v>0.0033</v>
      </c>
      <c r="O19" s="4">
        <v>45.42</v>
      </c>
      <c r="P19" s="4">
        <v>10.34</v>
      </c>
      <c r="Q19" s="4">
        <v>98.43</v>
      </c>
      <c r="R19" s="4">
        <v>6692</v>
      </c>
      <c r="S19" s="4">
        <v>2468</v>
      </c>
      <c r="T19" s="4">
        <v>98.25</v>
      </c>
      <c r="U19" s="4">
        <v>97.66</v>
      </c>
    </row>
    <row r="20" spans="1:21">
      <c r="A20" s="4" t="s">
        <v>59</v>
      </c>
      <c r="B20" s="4">
        <v>1910</v>
      </c>
      <c r="C20" s="4">
        <v>309</v>
      </c>
      <c r="D20" s="4">
        <v>373.32</v>
      </c>
      <c r="E20" s="4">
        <v>0.24</v>
      </c>
      <c r="F20" s="4">
        <v>5562.61</v>
      </c>
      <c r="G20" s="4">
        <v>1166.05</v>
      </c>
      <c r="H20" s="4">
        <v>19328.4</v>
      </c>
      <c r="I20" s="4">
        <v>86.79</v>
      </c>
      <c r="J20" s="4">
        <v>40.3</v>
      </c>
      <c r="K20" s="4">
        <v>13.75</v>
      </c>
      <c r="L20" s="4">
        <v>5.99</v>
      </c>
      <c r="M20" s="4">
        <v>38.88</v>
      </c>
      <c r="N20" s="41">
        <v>0.016</v>
      </c>
      <c r="O20" s="4">
        <v>40.75</v>
      </c>
      <c r="P20" s="4">
        <v>7.75</v>
      </c>
      <c r="Q20" s="4">
        <v>97.1</v>
      </c>
      <c r="R20" s="4">
        <v>1837</v>
      </c>
      <c r="S20" s="4">
        <v>5236</v>
      </c>
      <c r="T20" s="4">
        <v>99.33</v>
      </c>
      <c r="U20" s="4">
        <v>99.49</v>
      </c>
    </row>
    <row r="21" spans="1:21">
      <c r="A21" s="4" t="s">
        <v>66</v>
      </c>
      <c r="B21" s="4">
        <v>8431</v>
      </c>
      <c r="C21" s="4">
        <v>745</v>
      </c>
      <c r="D21" s="4">
        <v>362.34</v>
      </c>
      <c r="E21" s="4">
        <v>0.61</v>
      </c>
      <c r="F21" s="4">
        <v>8990.15</v>
      </c>
      <c r="G21" s="4">
        <v>1571.3</v>
      </c>
      <c r="H21" s="4">
        <v>24790.69</v>
      </c>
      <c r="I21" s="4">
        <v>93.32</v>
      </c>
      <c r="J21" s="4">
        <v>49.33</v>
      </c>
      <c r="K21" s="4">
        <v>19.64</v>
      </c>
      <c r="L21" s="4">
        <v>1.32</v>
      </c>
      <c r="M21" s="4">
        <v>25.29</v>
      </c>
      <c r="N21" s="41">
        <v>0.0147</v>
      </c>
      <c r="O21" s="4">
        <v>45.89</v>
      </c>
      <c r="P21" s="4">
        <v>7.3</v>
      </c>
      <c r="Q21" s="4">
        <v>97.32</v>
      </c>
      <c r="R21" s="4">
        <v>6765</v>
      </c>
      <c r="S21" s="4">
        <v>8261</v>
      </c>
      <c r="T21" s="4">
        <v>99.84</v>
      </c>
      <c r="U21" s="4">
        <v>99.67</v>
      </c>
    </row>
    <row r="22" ht="13.85" spans="1:21">
      <c r="A22" s="9">
        <v>247</v>
      </c>
      <c r="B22" s="30">
        <v>155</v>
      </c>
      <c r="C22" s="4">
        <f t="shared" ref="C22:C28" si="0">B22/A22</f>
        <v>0.62753036437247</v>
      </c>
      <c r="D22" s="4">
        <f t="shared" ref="D22:D28" si="1">ROUND(D15*C22,2)</f>
        <v>351.61</v>
      </c>
      <c r="F22" s="4">
        <f t="shared" ref="F22:F28" si="2">ROUND(F15*C22,2)</f>
        <v>11112.78</v>
      </c>
      <c r="H22" s="4">
        <f t="shared" ref="H22:H28" si="3">ROUND(H15*C22,2)</f>
        <v>26541.08</v>
      </c>
      <c r="P22" s="4">
        <f t="shared" ref="P22:P28" si="4">ROUND(P15*C22,2)</f>
        <v>11.45</v>
      </c>
    </row>
    <row r="23" ht="13.85" spans="1:21">
      <c r="A23" s="9">
        <v>530</v>
      </c>
      <c r="B23" s="30">
        <v>293</v>
      </c>
      <c r="C23" s="4">
        <f t="shared" si="0"/>
        <v>0.552830188679245</v>
      </c>
      <c r="D23" s="4">
        <f t="shared" si="1"/>
        <v>526.44</v>
      </c>
      <c r="F23" s="4">
        <f t="shared" si="2"/>
        <v>9218.81</v>
      </c>
      <c r="H23" s="4">
        <f t="shared" si="3"/>
        <v>27801.75</v>
      </c>
      <c r="P23" s="4">
        <f t="shared" si="4"/>
        <v>6.36</v>
      </c>
    </row>
    <row r="24" ht="13.85" spans="1:21">
      <c r="A24" s="9">
        <v>845</v>
      </c>
      <c r="B24" s="30">
        <v>729</v>
      </c>
      <c r="C24" s="4">
        <f t="shared" si="0"/>
        <v>0.862721893491124</v>
      </c>
      <c r="D24" s="4">
        <f t="shared" si="1"/>
        <v>442.75</v>
      </c>
      <c r="F24" s="4">
        <f t="shared" si="2"/>
        <v>7131.73</v>
      </c>
      <c r="H24" s="4">
        <f t="shared" si="3"/>
        <v>47776.64</v>
      </c>
      <c r="P24" s="4">
        <f t="shared" si="4"/>
        <v>6.05</v>
      </c>
    </row>
    <row r="25" spans="1:21">
      <c r="A25" s="36">
        <v>2475</v>
      </c>
      <c r="B25" s="35">
        <v>1504</v>
      </c>
      <c r="C25" s="4">
        <f t="shared" si="0"/>
        <v>0.607676767676768</v>
      </c>
      <c r="D25" s="4">
        <f t="shared" si="1"/>
        <v>875.86</v>
      </c>
      <c r="F25" s="4">
        <f t="shared" si="2"/>
        <v>18680.08</v>
      </c>
      <c r="H25" s="4">
        <f t="shared" si="3"/>
        <v>40369.72</v>
      </c>
      <c r="P25" s="4">
        <f t="shared" si="4"/>
        <v>5.65</v>
      </c>
    </row>
    <row r="26" ht="13.85" spans="1:21">
      <c r="A26" s="9">
        <v>1037</v>
      </c>
      <c r="B26" s="30">
        <v>851</v>
      </c>
      <c r="C26" s="4">
        <f t="shared" si="0"/>
        <v>0.820636451301832</v>
      </c>
      <c r="D26" s="4">
        <f t="shared" si="1"/>
        <v>507.48</v>
      </c>
      <c r="F26" s="4">
        <f t="shared" si="2"/>
        <v>10076.41</v>
      </c>
      <c r="H26" s="4">
        <f t="shared" si="3"/>
        <v>46624.96</v>
      </c>
      <c r="P26" s="4">
        <f t="shared" si="4"/>
        <v>8.49</v>
      </c>
    </row>
    <row r="27" ht="13.85" spans="1:21">
      <c r="A27" s="9">
        <v>309</v>
      </c>
      <c r="B27" s="30">
        <v>300</v>
      </c>
      <c r="C27" s="4">
        <f t="shared" si="0"/>
        <v>0.970873786407767</v>
      </c>
      <c r="D27" s="4">
        <f t="shared" si="1"/>
        <v>362.45</v>
      </c>
      <c r="F27" s="4">
        <f t="shared" si="2"/>
        <v>5400.59</v>
      </c>
      <c r="H27" s="4">
        <f t="shared" si="3"/>
        <v>18765.44</v>
      </c>
      <c r="P27" s="4">
        <f t="shared" si="4"/>
        <v>7.52</v>
      </c>
    </row>
    <row r="28" ht="13.85" spans="1:21">
      <c r="A28" s="9">
        <v>745</v>
      </c>
      <c r="B28" s="30">
        <v>609</v>
      </c>
      <c r="C28" s="4">
        <f t="shared" si="0"/>
        <v>0.81744966442953</v>
      </c>
      <c r="D28" s="4">
        <f t="shared" si="1"/>
        <v>296.19</v>
      </c>
      <c r="F28" s="4">
        <f t="shared" si="2"/>
        <v>7349</v>
      </c>
      <c r="H28" s="4">
        <f t="shared" si="3"/>
        <v>20265.14</v>
      </c>
      <c r="P28" s="4">
        <f t="shared" si="4"/>
        <v>5.97</v>
      </c>
    </row>
  </sheetData>
  <mergeCells count="16">
    <mergeCell ref="A3:A5"/>
    <mergeCell ref="B3:B5"/>
    <mergeCell ref="C1:C2"/>
    <mergeCell ref="C3:C4"/>
    <mergeCell ref="D1:D2"/>
    <mergeCell ref="D3:D4"/>
    <mergeCell ref="F3:F5"/>
    <mergeCell ref="G1:G2"/>
    <mergeCell ref="H1:H2"/>
    <mergeCell ref="I1:I2"/>
    <mergeCell ref="J1:J2"/>
    <mergeCell ref="K1:K2"/>
    <mergeCell ref="K3:K5"/>
    <mergeCell ref="L1:L2"/>
    <mergeCell ref="A1:B2"/>
    <mergeCell ref="E1:F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opLeftCell="A3" workbookViewId="0">
      <selection activeCell="N27" sqref="N27"/>
    </sheetView>
  </sheetViews>
  <sheetFormatPr defaultColWidth="9" defaultRowHeight="13.5"/>
  <cols>
    <col min="1" max="1" width="10.5044247787611" style="4" customWidth="1"/>
    <col min="2" max="2" width="12" style="4" customWidth="1"/>
    <col min="3" max="3" width="12.6283185840708" style="4"/>
    <col min="4" max="5" width="9" style="4"/>
    <col min="6" max="6" width="9.3716814159292" style="4"/>
    <col min="7" max="7" width="9" style="4"/>
    <col min="8" max="9" width="10.3716814159292" style="4"/>
    <col min="10" max="21" width="9" style="4"/>
  </cols>
  <sheetData>
    <row r="1" s="1" customFormat="1" ht="34" customHeight="1" spans="1:21">
      <c r="A1" s="5" t="s">
        <v>244</v>
      </c>
      <c r="B1" s="6"/>
      <c r="C1" s="7" t="s">
        <v>198</v>
      </c>
      <c r="D1" s="8"/>
      <c r="E1" s="8"/>
      <c r="F1" s="7" t="s">
        <v>245</v>
      </c>
      <c r="G1" s="7" t="s">
        <v>246</v>
      </c>
      <c r="H1" s="8" t="s">
        <v>247</v>
      </c>
      <c r="I1" s="7" t="s">
        <v>204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="1" customFormat="1" ht="34" customHeight="1" spans="1:21">
      <c r="A2" s="10"/>
      <c r="B2" s="11"/>
      <c r="C2" s="12"/>
      <c r="D2" s="13"/>
      <c r="E2" s="13"/>
      <c r="F2" s="12"/>
      <c r="G2" s="12"/>
      <c r="H2" s="13"/>
      <c r="I2" s="12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="2" customFormat="1" ht="28" customHeight="1" spans="1:21">
      <c r="A3" s="14" t="s">
        <v>73</v>
      </c>
      <c r="B3" s="14" t="s">
        <v>116</v>
      </c>
      <c r="C3" s="15" t="s">
        <v>248</v>
      </c>
      <c r="D3" s="16" t="s">
        <v>177</v>
      </c>
      <c r="E3" s="15" t="s">
        <v>51</v>
      </c>
      <c r="F3" s="17" t="s">
        <v>179</v>
      </c>
      <c r="G3" s="15" t="s">
        <v>208</v>
      </c>
      <c r="H3" s="16" t="s">
        <v>249</v>
      </c>
      <c r="I3" s="15" t="s">
        <v>181</v>
      </c>
    </row>
    <row r="4" s="2" customFormat="1" ht="39" customHeight="1" spans="1:21">
      <c r="A4" s="18"/>
      <c r="B4" s="18"/>
      <c r="C4" s="19"/>
      <c r="D4" s="20"/>
      <c r="E4" s="21" t="s">
        <v>209</v>
      </c>
      <c r="F4" s="17" t="s">
        <v>210</v>
      </c>
      <c r="G4" s="22" t="s">
        <v>157</v>
      </c>
      <c r="H4" s="20"/>
      <c r="I4" s="19" t="s">
        <v>159</v>
      </c>
    </row>
    <row r="5" s="2" customFormat="1" ht="46" customHeight="1" spans="1:21">
      <c r="A5" s="23"/>
      <c r="B5" s="23"/>
      <c r="C5" s="24" t="s">
        <v>182</v>
      </c>
      <c r="D5" s="22" t="s">
        <v>212</v>
      </c>
      <c r="E5" s="19" t="s">
        <v>213</v>
      </c>
      <c r="F5" s="24" t="s">
        <v>187</v>
      </c>
      <c r="G5" s="22" t="s">
        <v>187</v>
      </c>
      <c r="H5" s="22"/>
      <c r="I5" s="24" t="s">
        <v>188</v>
      </c>
      <c r="K5" s="2" t="s">
        <v>250</v>
      </c>
    </row>
    <row r="6" s="1" customFormat="1" ht="13.9" spans="1:21">
      <c r="A6" s="25" t="s">
        <v>251</v>
      </c>
      <c r="B6" s="26" t="s">
        <v>189</v>
      </c>
      <c r="C6" s="27">
        <v>161</v>
      </c>
      <c r="D6" s="28"/>
      <c r="E6" s="29">
        <v>99.66</v>
      </c>
      <c r="F6" s="30">
        <v>4233</v>
      </c>
      <c r="G6" s="30">
        <v>1.65</v>
      </c>
      <c r="H6" s="30">
        <v>4825086</v>
      </c>
      <c r="I6" s="30">
        <v>10789715</v>
      </c>
      <c r="J6" s="31">
        <v>1736</v>
      </c>
      <c r="K6" s="9">
        <v>4551</v>
      </c>
      <c r="L6" s="9">
        <v>249</v>
      </c>
      <c r="M6" s="9"/>
      <c r="N6" s="9"/>
      <c r="O6" s="9"/>
      <c r="P6" s="9"/>
      <c r="Q6" s="9"/>
      <c r="R6" s="9"/>
      <c r="S6" s="9"/>
      <c r="T6" s="9"/>
      <c r="U6" s="9"/>
    </row>
    <row r="7" s="1" customFormat="1" ht="13.9" spans="1:21">
      <c r="A7" s="25" t="s">
        <v>252</v>
      </c>
      <c r="B7" s="26" t="s">
        <v>190</v>
      </c>
      <c r="C7" s="27">
        <v>302</v>
      </c>
      <c r="D7" s="28"/>
      <c r="E7" s="29">
        <v>100</v>
      </c>
      <c r="F7" s="30">
        <v>8066</v>
      </c>
      <c r="G7" s="30">
        <v>0.34</v>
      </c>
      <c r="H7" s="30">
        <v>9321359</v>
      </c>
      <c r="I7" s="30">
        <v>27433333</v>
      </c>
      <c r="J7" s="31">
        <v>1701</v>
      </c>
      <c r="K7" s="9">
        <v>4071</v>
      </c>
      <c r="L7" s="9">
        <v>532</v>
      </c>
      <c r="M7" s="9"/>
      <c r="N7" s="9"/>
      <c r="O7" s="9"/>
      <c r="P7" s="9"/>
      <c r="Q7" s="9"/>
      <c r="R7" s="9"/>
      <c r="S7" s="9"/>
      <c r="T7" s="9"/>
      <c r="U7" s="9"/>
    </row>
    <row r="8" s="1" customFormat="1" ht="13.9" spans="1:21">
      <c r="A8" s="25" t="s">
        <v>253</v>
      </c>
      <c r="B8" s="26" t="s">
        <v>191</v>
      </c>
      <c r="C8" s="27">
        <v>733</v>
      </c>
      <c r="D8" s="28"/>
      <c r="E8" s="29">
        <v>96.4</v>
      </c>
      <c r="F8" s="30">
        <v>12928</v>
      </c>
      <c r="G8" s="30">
        <v>5.58</v>
      </c>
      <c r="H8" s="30">
        <v>7540813</v>
      </c>
      <c r="I8" s="30">
        <v>49637645</v>
      </c>
      <c r="J8" s="31">
        <v>12255</v>
      </c>
      <c r="K8" s="9">
        <v>3702</v>
      </c>
      <c r="L8" s="9">
        <v>847</v>
      </c>
      <c r="M8" s="9"/>
      <c r="N8" s="9"/>
      <c r="O8" s="9"/>
      <c r="P8" s="9"/>
      <c r="Q8" s="9"/>
      <c r="R8" s="9"/>
      <c r="S8" s="9"/>
      <c r="T8" s="9"/>
      <c r="U8" s="9"/>
    </row>
    <row r="9" s="3" customFormat="1" ht="13.85" spans="1:21">
      <c r="A9" s="32" t="s">
        <v>254</v>
      </c>
      <c r="B9" s="33" t="s">
        <v>192</v>
      </c>
      <c r="C9" s="34">
        <v>1519</v>
      </c>
      <c r="D9" s="28"/>
      <c r="E9" s="28"/>
      <c r="F9" s="35">
        <v>47219</v>
      </c>
      <c r="G9" s="35">
        <v>0.2</v>
      </c>
      <c r="H9" s="35">
        <v>83125008</v>
      </c>
      <c r="I9" s="35">
        <v>185155000</v>
      </c>
      <c r="J9" s="31">
        <v>6341</v>
      </c>
      <c r="K9" s="36">
        <v>23497</v>
      </c>
      <c r="L9" s="36">
        <v>2487</v>
      </c>
      <c r="M9" s="36"/>
      <c r="N9" s="36"/>
      <c r="O9" s="36"/>
      <c r="P9" s="36"/>
      <c r="Q9" s="36"/>
      <c r="R9" s="36"/>
      <c r="S9" s="36"/>
      <c r="T9" s="36"/>
      <c r="U9" s="36"/>
    </row>
    <row r="10" s="1" customFormat="1" ht="13.9" spans="1:21">
      <c r="A10" s="25" t="s">
        <v>255</v>
      </c>
      <c r="B10" s="26" t="s">
        <v>193</v>
      </c>
      <c r="C10" s="27">
        <v>851</v>
      </c>
      <c r="D10" s="29">
        <v>2653</v>
      </c>
      <c r="E10" s="29">
        <v>98.59</v>
      </c>
      <c r="F10" s="30">
        <v>15760</v>
      </c>
      <c r="G10" s="30">
        <v>3.13</v>
      </c>
      <c r="H10" s="30">
        <v>13378595</v>
      </c>
      <c r="I10" s="30">
        <v>63189388</v>
      </c>
      <c r="J10" s="31">
        <v>11293</v>
      </c>
      <c r="K10" s="9">
        <v>12835</v>
      </c>
      <c r="L10" s="9">
        <v>1037</v>
      </c>
      <c r="M10" s="9"/>
      <c r="N10" s="9"/>
      <c r="O10" s="9"/>
      <c r="P10" s="9"/>
      <c r="Q10" s="9"/>
      <c r="R10" s="9"/>
      <c r="S10" s="9"/>
      <c r="T10" s="9"/>
      <c r="U10" s="9"/>
    </row>
    <row r="11" s="1" customFormat="1" ht="13.9" spans="1:21">
      <c r="A11" s="37" t="s">
        <v>256</v>
      </c>
      <c r="B11" s="38" t="s">
        <v>194</v>
      </c>
      <c r="C11" s="27">
        <v>300</v>
      </c>
      <c r="D11" s="29">
        <v>5667</v>
      </c>
      <c r="E11" s="29">
        <v>97.59</v>
      </c>
      <c r="F11" s="30">
        <v>2001</v>
      </c>
      <c r="G11" s="30">
        <v>12.99</v>
      </c>
      <c r="H11" s="30">
        <v>1725315</v>
      </c>
      <c r="I11" s="30">
        <v>6671256</v>
      </c>
      <c r="J11" s="31">
        <v>7802</v>
      </c>
      <c r="K11" s="9">
        <v>2418</v>
      </c>
      <c r="L11" s="9">
        <v>310</v>
      </c>
      <c r="M11" s="9"/>
      <c r="N11" s="9"/>
      <c r="O11" s="9"/>
      <c r="P11" s="9"/>
      <c r="Q11" s="9"/>
      <c r="R11" s="9"/>
      <c r="S11" s="9"/>
      <c r="T11" s="9"/>
      <c r="U11" s="9"/>
    </row>
    <row r="12" s="1" customFormat="1" ht="13.9" spans="1:21">
      <c r="A12" s="37" t="s">
        <v>257</v>
      </c>
      <c r="B12" s="38" t="s">
        <v>195</v>
      </c>
      <c r="C12" s="27">
        <v>608</v>
      </c>
      <c r="D12" s="29">
        <v>9017</v>
      </c>
      <c r="E12" s="29">
        <v>98.19</v>
      </c>
      <c r="F12" s="30">
        <v>8753</v>
      </c>
      <c r="G12" s="30">
        <v>6.81</v>
      </c>
      <c r="H12" s="30">
        <v>7502361</v>
      </c>
      <c r="I12" s="30">
        <v>20085546</v>
      </c>
      <c r="J12" s="31">
        <v>13739</v>
      </c>
      <c r="K12" s="9">
        <v>6724</v>
      </c>
      <c r="L12" s="9">
        <v>754</v>
      </c>
      <c r="M12" s="9"/>
      <c r="N12" s="9"/>
      <c r="O12" s="9"/>
      <c r="P12" s="9"/>
      <c r="Q12" s="9"/>
      <c r="R12" s="9"/>
      <c r="S12" s="9"/>
      <c r="T12" s="9"/>
      <c r="U12" s="9"/>
    </row>
    <row r="14" ht="54" spans="1:21">
      <c r="A14" s="39"/>
      <c r="B14" s="39" t="s">
        <v>61</v>
      </c>
      <c r="C14" s="39" t="s">
        <v>52</v>
      </c>
      <c r="D14" s="39" t="s">
        <v>8</v>
      </c>
      <c r="E14" s="39" t="s">
        <v>10</v>
      </c>
      <c r="F14" s="39" t="s">
        <v>11</v>
      </c>
      <c r="G14" s="39" t="s">
        <v>12</v>
      </c>
      <c r="H14" s="39" t="s">
        <v>13</v>
      </c>
      <c r="I14" s="39" t="s">
        <v>14</v>
      </c>
      <c r="J14" s="39" t="s">
        <v>15</v>
      </c>
      <c r="K14" s="39" t="s">
        <v>16</v>
      </c>
      <c r="L14" s="39" t="s">
        <v>17</v>
      </c>
      <c r="M14" s="39" t="s">
        <v>18</v>
      </c>
      <c r="N14" s="39" t="s">
        <v>19</v>
      </c>
      <c r="O14" s="39" t="s">
        <v>20</v>
      </c>
      <c r="P14" s="39" t="s">
        <v>21</v>
      </c>
      <c r="Q14" s="39" t="s">
        <v>22</v>
      </c>
      <c r="R14" s="39" t="s">
        <v>23</v>
      </c>
      <c r="S14" s="39" t="s">
        <v>177</v>
      </c>
      <c r="T14" s="39" t="s">
        <v>25</v>
      </c>
      <c r="U14" s="39" t="s">
        <v>26</v>
      </c>
    </row>
    <row r="15" spans="1:21">
      <c r="A15" s="4" t="s">
        <v>62</v>
      </c>
      <c r="B15" s="40">
        <v>4233</v>
      </c>
      <c r="C15" s="4">
        <v>249</v>
      </c>
      <c r="D15" s="4">
        <v>599.66</v>
      </c>
      <c r="E15" s="4">
        <v>2.44</v>
      </c>
      <c r="F15" s="4">
        <v>19377.86</v>
      </c>
      <c r="G15" s="4">
        <v>1713.47</v>
      </c>
      <c r="H15" s="4">
        <v>43332.19</v>
      </c>
      <c r="I15" s="4">
        <v>98.35</v>
      </c>
      <c r="J15" s="4">
        <v>39.94</v>
      </c>
      <c r="K15" s="4">
        <v>21.21</v>
      </c>
      <c r="L15" s="4">
        <v>0.18</v>
      </c>
      <c r="M15" s="4">
        <v>26.59</v>
      </c>
      <c r="N15" s="41">
        <v>0.0617</v>
      </c>
      <c r="O15" s="4">
        <v>47.06</v>
      </c>
      <c r="P15" s="4">
        <v>18.28</v>
      </c>
      <c r="Q15" s="4">
        <v>99.66</v>
      </c>
      <c r="R15" s="4">
        <v>4672</v>
      </c>
      <c r="S15" s="4">
        <v>2005</v>
      </c>
      <c r="T15" s="4">
        <v>100</v>
      </c>
      <c r="U15" s="4">
        <v>87.59</v>
      </c>
    </row>
    <row r="16" spans="1:21">
      <c r="A16" s="4" t="s">
        <v>63</v>
      </c>
      <c r="B16" s="40">
        <v>8066</v>
      </c>
      <c r="C16" s="4">
        <v>532</v>
      </c>
      <c r="D16" s="4">
        <v>1007.86</v>
      </c>
      <c r="E16" s="4">
        <v>4.74</v>
      </c>
      <c r="F16" s="4">
        <v>17521.35</v>
      </c>
      <c r="G16" s="4">
        <v>2985.94</v>
      </c>
      <c r="H16" s="4">
        <v>51566.41</v>
      </c>
      <c r="I16" s="4">
        <v>99.66</v>
      </c>
      <c r="J16" s="4">
        <v>34.01</v>
      </c>
      <c r="K16" s="4">
        <v>24.5</v>
      </c>
      <c r="L16" s="4">
        <v>0.09</v>
      </c>
      <c r="M16" s="4">
        <v>38.79</v>
      </c>
      <c r="N16" s="41">
        <v>0.0224</v>
      </c>
      <c r="O16" s="4">
        <v>44.33</v>
      </c>
      <c r="P16" s="4">
        <v>7.65</v>
      </c>
      <c r="Q16" s="4">
        <v>100</v>
      </c>
      <c r="R16" s="4">
        <v>27823</v>
      </c>
      <c r="S16" s="4">
        <v>326</v>
      </c>
      <c r="T16" s="4">
        <v>98.19</v>
      </c>
      <c r="U16" s="4">
        <v>95.96</v>
      </c>
    </row>
    <row r="17" spans="1:21">
      <c r="A17" s="4" t="s">
        <v>64</v>
      </c>
      <c r="B17" s="40">
        <v>12928</v>
      </c>
      <c r="C17" s="4">
        <v>847</v>
      </c>
      <c r="D17" s="4">
        <v>517.62</v>
      </c>
      <c r="E17" s="4">
        <v>1.05</v>
      </c>
      <c r="F17" s="4">
        <v>8902.96</v>
      </c>
      <c r="G17" s="4">
        <v>9102.72</v>
      </c>
      <c r="H17" s="4">
        <v>58604.07</v>
      </c>
      <c r="I17" s="4">
        <v>94.42</v>
      </c>
      <c r="J17" s="4">
        <v>19.25</v>
      </c>
      <c r="K17" s="4">
        <v>7.81</v>
      </c>
      <c r="L17" s="4">
        <v>0.01</v>
      </c>
      <c r="M17" s="4">
        <v>70.63</v>
      </c>
      <c r="N17" s="41">
        <v>0.04</v>
      </c>
      <c r="O17" s="4">
        <v>43.54</v>
      </c>
      <c r="P17" s="4">
        <v>4.37</v>
      </c>
      <c r="Q17" s="4">
        <v>96.3</v>
      </c>
      <c r="R17" s="4">
        <v>7220</v>
      </c>
      <c r="S17" s="4">
        <v>12248</v>
      </c>
      <c r="T17" s="4">
        <v>98.98</v>
      </c>
      <c r="U17" s="4">
        <v>98</v>
      </c>
    </row>
    <row r="18" spans="1:21">
      <c r="A18" s="4" t="s">
        <v>57</v>
      </c>
      <c r="B18" s="40">
        <v>47219</v>
      </c>
      <c r="C18" s="4">
        <v>2487</v>
      </c>
      <c r="D18" s="4">
        <v>1463.13</v>
      </c>
      <c r="E18" s="4">
        <v>7.45</v>
      </c>
      <c r="F18" s="4">
        <v>33423.81</v>
      </c>
      <c r="G18" s="4">
        <v>10750</v>
      </c>
      <c r="H18" s="4">
        <v>74449.13</v>
      </c>
      <c r="I18" s="4">
        <v>99.8</v>
      </c>
      <c r="J18" s="4">
        <v>57.06</v>
      </c>
      <c r="K18" s="4">
        <v>35.6</v>
      </c>
      <c r="L18" s="4">
        <v>0.044</v>
      </c>
      <c r="M18" s="4">
        <v>0.09</v>
      </c>
      <c r="N18" s="41">
        <v>0.1342</v>
      </c>
      <c r="O18" s="4">
        <v>37.8</v>
      </c>
      <c r="P18" s="4">
        <v>9.45</v>
      </c>
      <c r="Q18" s="4">
        <v>98.4</v>
      </c>
      <c r="R18" s="4">
        <v>30600</v>
      </c>
      <c r="S18" s="4">
        <v>6300</v>
      </c>
      <c r="T18" s="4">
        <v>98.88</v>
      </c>
      <c r="U18" s="4">
        <v>94.38</v>
      </c>
    </row>
    <row r="19" spans="1:21">
      <c r="A19" s="4" t="s">
        <v>65</v>
      </c>
      <c r="B19" s="40">
        <v>15760</v>
      </c>
      <c r="C19" s="4">
        <v>1037</v>
      </c>
      <c r="D19" s="4">
        <v>618.4</v>
      </c>
      <c r="E19" s="4">
        <v>1.4</v>
      </c>
      <c r="F19" s="4">
        <v>12901.25</v>
      </c>
      <c r="G19" s="4">
        <v>12018</v>
      </c>
      <c r="H19" s="4">
        <v>60934.8</v>
      </c>
      <c r="I19" s="4">
        <v>96.87</v>
      </c>
      <c r="J19" s="4">
        <v>64.95</v>
      </c>
      <c r="K19" s="4">
        <v>27.99</v>
      </c>
      <c r="L19" s="4">
        <v>0.19</v>
      </c>
      <c r="M19" s="4">
        <v>4.71</v>
      </c>
      <c r="N19" s="41">
        <v>0.003</v>
      </c>
      <c r="O19" s="4">
        <v>44.1</v>
      </c>
      <c r="P19" s="4">
        <v>12.38</v>
      </c>
      <c r="Q19" s="4">
        <v>98.59</v>
      </c>
      <c r="R19" s="4">
        <v>6793</v>
      </c>
      <c r="S19" s="4">
        <v>2652</v>
      </c>
      <c r="T19" s="4">
        <v>98.08</v>
      </c>
      <c r="U19" s="4">
        <v>97.9</v>
      </c>
    </row>
    <row r="20" spans="1:21">
      <c r="A20" s="4" t="s">
        <v>59</v>
      </c>
      <c r="B20" s="40">
        <v>2001</v>
      </c>
      <c r="C20" s="4">
        <v>310</v>
      </c>
      <c r="D20" s="4">
        <v>372.12</v>
      </c>
      <c r="E20" s="4">
        <v>0.26</v>
      </c>
      <c r="F20" s="4">
        <v>5565.53</v>
      </c>
      <c r="G20" s="4">
        <v>1212.69</v>
      </c>
      <c r="H20" s="4">
        <v>21520.18</v>
      </c>
      <c r="I20" s="4">
        <v>87.01</v>
      </c>
      <c r="J20" s="4">
        <v>40.12</v>
      </c>
      <c r="K20" s="4">
        <v>13.82</v>
      </c>
      <c r="L20" s="4">
        <v>5.9</v>
      </c>
      <c r="M20" s="4">
        <v>39.09</v>
      </c>
      <c r="N20" s="41">
        <v>0.0144</v>
      </c>
      <c r="O20" s="4">
        <v>41.38</v>
      </c>
      <c r="P20" s="4">
        <v>7.8</v>
      </c>
      <c r="Q20" s="4">
        <v>97.59</v>
      </c>
      <c r="R20" s="4">
        <v>1856</v>
      </c>
      <c r="S20" s="4">
        <v>5666</v>
      </c>
      <c r="T20" s="4">
        <v>99.41</v>
      </c>
      <c r="U20" s="4">
        <v>99.66</v>
      </c>
    </row>
    <row r="21" spans="1:21">
      <c r="A21" s="4" t="s">
        <v>66</v>
      </c>
      <c r="B21" s="40">
        <v>8753</v>
      </c>
      <c r="C21" s="4">
        <v>754</v>
      </c>
      <c r="D21" s="4">
        <v>356.85</v>
      </c>
      <c r="E21" s="4">
        <v>0.64</v>
      </c>
      <c r="F21" s="4">
        <v>9950.08</v>
      </c>
      <c r="G21" s="4">
        <v>1580.9</v>
      </c>
      <c r="H21" s="4">
        <v>26638.66</v>
      </c>
      <c r="I21" s="4">
        <v>93.19</v>
      </c>
      <c r="J21" s="4">
        <v>49.07</v>
      </c>
      <c r="K21" s="42">
        <v>19.7</v>
      </c>
      <c r="L21" s="4">
        <v>1.24</v>
      </c>
      <c r="M21" s="4">
        <v>25.57</v>
      </c>
      <c r="N21" s="41">
        <v>0.0125</v>
      </c>
      <c r="O21" s="4">
        <v>44.6</v>
      </c>
      <c r="P21" s="4">
        <v>8.92</v>
      </c>
      <c r="Q21" s="4">
        <v>98.19</v>
      </c>
      <c r="R21" s="4">
        <v>7235</v>
      </c>
      <c r="S21" s="4">
        <v>9017</v>
      </c>
      <c r="T21" s="4">
        <v>100</v>
      </c>
      <c r="U21" s="4">
        <v>100</v>
      </c>
    </row>
    <row r="22" ht="13.85" spans="1:21">
      <c r="A22" s="9">
        <v>249</v>
      </c>
      <c r="B22" s="27">
        <v>161</v>
      </c>
      <c r="C22" s="4">
        <f>B22/A22</f>
        <v>0.646586345381526</v>
      </c>
      <c r="D22" s="4">
        <f>ROUND(D15*C22,2)</f>
        <v>387.73</v>
      </c>
      <c r="F22" s="4">
        <f>ROUND(F15*C22,2)</f>
        <v>12529.46</v>
      </c>
      <c r="H22" s="4">
        <f>ROUND(H15*C22,2)</f>
        <v>28018</v>
      </c>
      <c r="P22" s="4">
        <f>ROUND(P15*C22,2)</f>
        <v>11.82</v>
      </c>
    </row>
    <row r="23" ht="13.85" spans="1:21">
      <c r="A23" s="9">
        <v>532</v>
      </c>
      <c r="B23" s="27">
        <v>302</v>
      </c>
      <c r="C23" s="4">
        <f t="shared" ref="C23:C28" si="0">B23/A23</f>
        <v>0.567669172932331</v>
      </c>
      <c r="D23" s="4">
        <f t="shared" ref="D23:D28" si="1">ROUND(D16*C23,2)</f>
        <v>572.13</v>
      </c>
      <c r="F23" s="4">
        <f t="shared" ref="F23:F28" si="2">ROUND(F16*C23,2)</f>
        <v>9946.33</v>
      </c>
      <c r="H23" s="4">
        <f t="shared" ref="H23:H28" si="3">ROUND(H16*C23,2)</f>
        <v>29272.66</v>
      </c>
      <c r="P23" s="4">
        <f t="shared" ref="P23:P28" si="4">ROUND(P16*C23,2)</f>
        <v>4.34</v>
      </c>
    </row>
    <row r="24" ht="13.85" spans="1:21">
      <c r="A24" s="9">
        <v>847</v>
      </c>
      <c r="B24" s="27">
        <v>733</v>
      </c>
      <c r="C24" s="4">
        <f t="shared" si="0"/>
        <v>0.865407319952775</v>
      </c>
      <c r="D24" s="4">
        <f t="shared" si="1"/>
        <v>447.95</v>
      </c>
      <c r="F24" s="4">
        <f t="shared" si="2"/>
        <v>7704.69</v>
      </c>
      <c r="H24" s="4">
        <f t="shared" si="3"/>
        <v>50716.39</v>
      </c>
      <c r="P24" s="4">
        <f t="shared" si="4"/>
        <v>3.78</v>
      </c>
    </row>
    <row r="25" spans="1:21">
      <c r="A25" s="36">
        <v>2487</v>
      </c>
      <c r="B25" s="34">
        <v>1519</v>
      </c>
      <c r="C25" s="4">
        <f t="shared" si="0"/>
        <v>0.610776035383997</v>
      </c>
      <c r="D25" s="4">
        <f t="shared" si="1"/>
        <v>893.64</v>
      </c>
      <c r="F25" s="4">
        <f t="shared" si="2"/>
        <v>20414.46</v>
      </c>
      <c r="H25" s="4">
        <f t="shared" si="3"/>
        <v>45471.74</v>
      </c>
      <c r="P25" s="4">
        <f t="shared" si="4"/>
        <v>5.77</v>
      </c>
    </row>
    <row r="26" ht="13.85" spans="1:21">
      <c r="A26" s="9">
        <v>1037</v>
      </c>
      <c r="B26" s="27">
        <v>851</v>
      </c>
      <c r="C26" s="4">
        <f t="shared" si="0"/>
        <v>0.820636451301832</v>
      </c>
      <c r="D26" s="4">
        <f t="shared" si="1"/>
        <v>507.48</v>
      </c>
      <c r="F26" s="4">
        <f t="shared" si="2"/>
        <v>10587.24</v>
      </c>
      <c r="H26" s="4">
        <f t="shared" si="3"/>
        <v>50005.32</v>
      </c>
      <c r="P26" s="4">
        <f t="shared" si="4"/>
        <v>10.16</v>
      </c>
    </row>
    <row r="27" ht="13.85" spans="1:21">
      <c r="A27" s="9">
        <v>310</v>
      </c>
      <c r="B27" s="27">
        <v>300</v>
      </c>
      <c r="C27" s="4">
        <f t="shared" si="0"/>
        <v>0.967741935483871</v>
      </c>
      <c r="D27" s="4">
        <f t="shared" si="1"/>
        <v>360.12</v>
      </c>
      <c r="F27" s="4">
        <f t="shared" si="2"/>
        <v>5386</v>
      </c>
      <c r="H27" s="4">
        <f t="shared" si="3"/>
        <v>20825.98</v>
      </c>
      <c r="P27" s="4">
        <f t="shared" si="4"/>
        <v>7.55</v>
      </c>
    </row>
    <row r="28" ht="13.85" spans="1:21">
      <c r="A28" s="9">
        <v>754</v>
      </c>
      <c r="B28" s="27">
        <v>608</v>
      </c>
      <c r="C28" s="4">
        <f t="shared" si="0"/>
        <v>0.806366047745358</v>
      </c>
      <c r="D28" s="4">
        <f t="shared" si="1"/>
        <v>287.75</v>
      </c>
      <c r="F28" s="4">
        <f t="shared" si="2"/>
        <v>8023.41</v>
      </c>
      <c r="H28" s="4">
        <f t="shared" si="3"/>
        <v>21480.51</v>
      </c>
      <c r="P28" s="4">
        <f t="shared" si="4"/>
        <v>7.19</v>
      </c>
    </row>
  </sheetData>
  <mergeCells count="12">
    <mergeCell ref="A3:A5"/>
    <mergeCell ref="B3:B5"/>
    <mergeCell ref="C1:C2"/>
    <mergeCell ref="C3:C4"/>
    <mergeCell ref="D1:D2"/>
    <mergeCell ref="E1:E2"/>
    <mergeCell ref="F1:F2"/>
    <mergeCell ref="G1:G2"/>
    <mergeCell ref="H1:H2"/>
    <mergeCell ref="H3:H5"/>
    <mergeCell ref="I1:I2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珠海</vt:lpstr>
      <vt:lpstr>厦门</vt:lpstr>
      <vt:lpstr>福州</vt:lpstr>
      <vt:lpstr>上海</vt:lpstr>
      <vt:lpstr>青岛</vt:lpstr>
      <vt:lpstr>秦皇岛</vt:lpstr>
      <vt:lpstr>大连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1043</dc:creator>
  <cp:lastModifiedBy>千寻</cp:lastModifiedBy>
  <dcterms:created xsi:type="dcterms:W3CDTF">2023-05-12T11:15:00Z</dcterms:created>
  <dcterms:modified xsi:type="dcterms:W3CDTF">2026-03-03T08:17:38Z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71A16543454B4521BCAB1548BDF5EDBC_12</vt:lpwstr>
  </property>
  <property fmtid="{D5CDD505-2E9C-101B-9397-08002B2CF9AE}" pid="4" name="CalculationRule">
    <vt:i4>0</vt:i4>
  </property>
</Properties>
</file>